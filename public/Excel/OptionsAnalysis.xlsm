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4e222cd4dcbae97/Documentos/NCQ_Documentos/Curriculum/personal_web/static/Excel/"/>
    </mc:Choice>
  </mc:AlternateContent>
  <xr:revisionPtr revIDLastSave="2475" documentId="8_{21362F51-8DB3-4FE2-A115-581AA7FDF5BC}" xr6:coauthVersionLast="46" xr6:coauthVersionMax="46" xr10:uidLastSave="{C0CB8FCC-426A-4877-A888-2A890BCE22A4}"/>
  <bookViews>
    <workbookView xWindow="-108" yWindow="-108" windowWidth="23256" windowHeight="12576" tabRatio="599" xr2:uid="{1C1E2BA1-646A-4B5C-8444-937EBA6EEA43}"/>
  </bookViews>
  <sheets>
    <sheet name="Trading Dashboard" sheetId="1" r:id="rId1"/>
    <sheet name="Symbol (ref)" sheetId="13" state="hidden" r:id="rId2"/>
    <sheet name="YF Summary A" sheetId="11" state="hidden" r:id="rId3"/>
    <sheet name="YF Summary B" sheetId="12" state="hidden" r:id="rId4"/>
    <sheet name="YF Spot" sheetId="8" state="hidden" r:id="rId5"/>
    <sheet name="EWMA" sheetId="14" state="hidden" r:id="rId6"/>
    <sheet name="YF Calls" sheetId="9" state="hidden" r:id="rId7"/>
    <sheet name="YF Puts" sheetId="10" state="hidden" r:id="rId8"/>
    <sheet name="Utility" sheetId="15" state="hidden" r:id="rId9"/>
    <sheet name="T-Bills 3M" sheetId="17" state="hidden" r:id="rId10"/>
    <sheet name="OptionsPlots" sheetId="18" state="hidden" r:id="rId11"/>
  </sheets>
  <functionGroups builtInGroupCount="19"/>
  <definedNames>
    <definedName name="ExternalData_1" localSheetId="1" hidden="1">'Symbol (ref)'!$A$1:$A$2</definedName>
    <definedName name="ExternalData_1" localSheetId="9" hidden="1">'T-Bills 3M'!$A$1:$E$6</definedName>
    <definedName name="ExternalData_1" localSheetId="4" hidden="1">'YF Spot'!$A$1:$G$99</definedName>
    <definedName name="ExternalData_2" localSheetId="6" hidden="1">'YF Calls'!$A$1:$K$85</definedName>
    <definedName name="ExternalData_2" localSheetId="2" hidden="1">'YF Summary A'!$A$1:$B$9</definedName>
    <definedName name="ExternalData_3" localSheetId="7" hidden="1">'YF Puts'!$A$1:$K$85</definedName>
    <definedName name="ExternalData_3" localSheetId="3" hidden="1">'YF Summary B'!$A$1:$B$9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8" l="1"/>
  <c r="F2" i="18"/>
  <c r="H2" i="18" s="1"/>
  <c r="C2" i="18"/>
  <c r="I2" i="18" l="1"/>
  <c r="Y36" i="1"/>
  <c r="AA13" i="1"/>
  <c r="AB13" i="1" a="1"/>
  <c r="F8" i="18" l="1"/>
  <c r="AB13" i="1"/>
  <c r="BP16" i="1"/>
  <c r="BP17" i="1"/>
  <c r="BP18" i="1"/>
  <c r="BP19" i="1"/>
  <c r="BP15" i="1"/>
  <c r="BP9" i="1"/>
  <c r="BP10" i="1"/>
  <c r="BP11" i="1"/>
  <c r="BP12" i="1"/>
  <c r="BP8" i="1"/>
  <c r="BM16" i="1"/>
  <c r="BM17" i="1"/>
  <c r="BM18" i="1"/>
  <c r="BM19" i="1"/>
  <c r="BJ16" i="1"/>
  <c r="BJ17" i="1"/>
  <c r="BJ18" i="1"/>
  <c r="BJ19" i="1"/>
  <c r="BG16" i="1"/>
  <c r="BG17" i="1"/>
  <c r="BG18" i="1"/>
  <c r="BG19" i="1"/>
  <c r="AX16" i="1"/>
  <c r="AX17" i="1"/>
  <c r="AX18" i="1"/>
  <c r="AX19" i="1"/>
  <c r="AN16" i="1"/>
  <c r="AN17" i="1"/>
  <c r="AN18" i="1"/>
  <c r="AN19" i="1"/>
  <c r="AX15" i="1"/>
  <c r="BM15" i="1"/>
  <c r="BJ15" i="1"/>
  <c r="BG15" i="1"/>
  <c r="AN15" i="1"/>
  <c r="BM9" i="1"/>
  <c r="BM10" i="1"/>
  <c r="BM11" i="1"/>
  <c r="BM12" i="1"/>
  <c r="BJ9" i="1"/>
  <c r="BJ10" i="1"/>
  <c r="BJ11" i="1"/>
  <c r="BJ12" i="1"/>
  <c r="BG9" i="1"/>
  <c r="BG10" i="1"/>
  <c r="BG11" i="1"/>
  <c r="BG12" i="1"/>
  <c r="BM8" i="1"/>
  <c r="BJ8" i="1"/>
  <c r="BG8" i="1"/>
  <c r="AX9" i="1"/>
  <c r="AX10" i="1"/>
  <c r="AX11" i="1"/>
  <c r="AX12" i="1"/>
  <c r="AX8" i="1"/>
  <c r="AN9" i="1"/>
  <c r="AN10" i="1"/>
  <c r="AN11" i="1"/>
  <c r="AN12" i="1"/>
  <c r="AN8" i="1"/>
  <c r="B9" i="15"/>
  <c r="B2" i="15"/>
  <c r="B4" i="15"/>
  <c r="B3" i="15"/>
  <c r="G101" i="14"/>
  <c r="H101" i="14"/>
  <c r="G102" i="14"/>
  <c r="H102" i="14"/>
  <c r="G103" i="14"/>
  <c r="H103" i="14"/>
  <c r="G104" i="14"/>
  <c r="H104" i="14"/>
  <c r="G105" i="14"/>
  <c r="H105" i="14"/>
  <c r="G106" i="14"/>
  <c r="H106" i="14"/>
  <c r="G107" i="14"/>
  <c r="H107" i="14"/>
  <c r="G108" i="14"/>
  <c r="H108" i="14"/>
  <c r="G109" i="14"/>
  <c r="H109" i="14"/>
  <c r="G110" i="14"/>
  <c r="H110" i="14"/>
  <c r="G111" i="14"/>
  <c r="H111" i="14"/>
  <c r="G112" i="14"/>
  <c r="H112" i="14"/>
  <c r="G113" i="14"/>
  <c r="H113" i="14"/>
  <c r="G114" i="14"/>
  <c r="H114" i="14"/>
  <c r="G115" i="14"/>
  <c r="H115" i="14"/>
  <c r="G116" i="14"/>
  <c r="H116" i="14"/>
  <c r="G117" i="14"/>
  <c r="H117" i="14"/>
  <c r="G118" i="14"/>
  <c r="H118" i="14"/>
  <c r="G119" i="14"/>
  <c r="H119" i="14"/>
  <c r="G120" i="14"/>
  <c r="H120" i="14"/>
  <c r="G121" i="14"/>
  <c r="H121" i="14"/>
  <c r="G122" i="14"/>
  <c r="H122" i="14"/>
  <c r="G123" i="14"/>
  <c r="H123" i="14"/>
  <c r="G124" i="14"/>
  <c r="H124" i="14"/>
  <c r="G125" i="14"/>
  <c r="H125" i="14"/>
  <c r="G126" i="14"/>
  <c r="H126" i="14"/>
  <c r="G127" i="14"/>
  <c r="H127" i="14"/>
  <c r="G128" i="14"/>
  <c r="H128" i="14"/>
  <c r="G129" i="14"/>
  <c r="H129" i="14"/>
  <c r="G130" i="14"/>
  <c r="H130" i="14"/>
  <c r="G131" i="14"/>
  <c r="H131" i="14"/>
  <c r="G132" i="14"/>
  <c r="H132" i="14"/>
  <c r="G133" i="14"/>
  <c r="H133" i="14"/>
  <c r="G134" i="14"/>
  <c r="H134" i="14"/>
  <c r="G135" i="14"/>
  <c r="H135" i="14"/>
  <c r="G136" i="14"/>
  <c r="H136" i="14"/>
  <c r="G137" i="14"/>
  <c r="H137" i="14"/>
  <c r="G138" i="14"/>
  <c r="H138" i="14"/>
  <c r="G139" i="14"/>
  <c r="H139" i="14"/>
  <c r="G140" i="14"/>
  <c r="H140" i="14"/>
  <c r="G141" i="14"/>
  <c r="H141" i="14"/>
  <c r="G142" i="14"/>
  <c r="H142" i="14"/>
  <c r="G143" i="14"/>
  <c r="H143" i="14"/>
  <c r="G144" i="14"/>
  <c r="H144" i="14"/>
  <c r="G145" i="14"/>
  <c r="H145" i="14"/>
  <c r="G146" i="14"/>
  <c r="H146" i="14"/>
  <c r="G147" i="14"/>
  <c r="H147" i="14"/>
  <c r="G148" i="14"/>
  <c r="H148" i="14"/>
  <c r="G149" i="14"/>
  <c r="H149" i="14"/>
  <c r="G150" i="14"/>
  <c r="H150" i="14"/>
  <c r="G151" i="14"/>
  <c r="H151" i="14"/>
  <c r="G152" i="14"/>
  <c r="H152" i="14"/>
  <c r="G153" i="14"/>
  <c r="H153" i="14"/>
  <c r="G154" i="14"/>
  <c r="H154" i="14"/>
  <c r="G155" i="14"/>
  <c r="H155" i="14"/>
  <c r="G156" i="14"/>
  <c r="H156" i="14"/>
  <c r="G157" i="14"/>
  <c r="H157" i="14"/>
  <c r="G158" i="14"/>
  <c r="H158" i="14"/>
  <c r="G159" i="14"/>
  <c r="H159" i="14"/>
  <c r="G160" i="14"/>
  <c r="H160" i="14"/>
  <c r="G161" i="14"/>
  <c r="H161" i="14"/>
  <c r="G162" i="14"/>
  <c r="H162" i="14"/>
  <c r="G163" i="14"/>
  <c r="H163" i="14"/>
  <c r="G164" i="14"/>
  <c r="H164" i="14"/>
  <c r="G165" i="14"/>
  <c r="H165" i="14"/>
  <c r="G166" i="14"/>
  <c r="H166" i="14"/>
  <c r="G167" i="14"/>
  <c r="H167" i="14"/>
  <c r="G168" i="14"/>
  <c r="H168" i="14"/>
  <c r="G169" i="14"/>
  <c r="H169" i="14"/>
  <c r="G170" i="14"/>
  <c r="H170" i="14"/>
  <c r="G171" i="14"/>
  <c r="H171" i="14"/>
  <c r="G172" i="14"/>
  <c r="H172" i="14"/>
  <c r="G173" i="14"/>
  <c r="H173" i="14"/>
  <c r="G174" i="14"/>
  <c r="H174" i="14"/>
  <c r="G175" i="14"/>
  <c r="H175" i="14"/>
  <c r="G176" i="14"/>
  <c r="H176" i="14"/>
  <c r="G177" i="14"/>
  <c r="H177" i="14"/>
  <c r="G178" i="14"/>
  <c r="H178" i="14"/>
  <c r="G179" i="14"/>
  <c r="H179" i="14"/>
  <c r="G180" i="14"/>
  <c r="H180" i="14"/>
  <c r="G181" i="14"/>
  <c r="H181" i="14"/>
  <c r="G182" i="14"/>
  <c r="H182" i="14"/>
  <c r="G183" i="14"/>
  <c r="H183" i="14"/>
  <c r="G184" i="14"/>
  <c r="H184" i="14"/>
  <c r="G185" i="14"/>
  <c r="H185" i="14"/>
  <c r="G186" i="14"/>
  <c r="H186" i="14"/>
  <c r="G187" i="14"/>
  <c r="H187" i="14"/>
  <c r="G188" i="14"/>
  <c r="H188" i="14"/>
  <c r="G189" i="14"/>
  <c r="H189" i="14"/>
  <c r="G190" i="14"/>
  <c r="H190" i="14"/>
  <c r="G191" i="14"/>
  <c r="H191" i="14"/>
  <c r="G192" i="14"/>
  <c r="H192" i="14"/>
  <c r="G193" i="14"/>
  <c r="H193" i="14"/>
  <c r="G194" i="14"/>
  <c r="H194" i="14"/>
  <c r="G195" i="14"/>
  <c r="H195" i="14"/>
  <c r="G196" i="14"/>
  <c r="H196" i="14"/>
  <c r="G197" i="14"/>
  <c r="H197" i="14"/>
  <c r="G198" i="14"/>
  <c r="H198" i="14"/>
  <c r="G199" i="14"/>
  <c r="H199" i="14"/>
  <c r="G200" i="14"/>
  <c r="H2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E137" i="14"/>
  <c r="E138" i="14"/>
  <c r="E139" i="14"/>
  <c r="E140" i="14"/>
  <c r="E141" i="14"/>
  <c r="E142" i="14"/>
  <c r="E143" i="14"/>
  <c r="E144" i="14"/>
  <c r="E145" i="14"/>
  <c r="E146" i="14"/>
  <c r="E147" i="14"/>
  <c r="E148" i="14"/>
  <c r="E149" i="14"/>
  <c r="E150" i="14"/>
  <c r="E151" i="14"/>
  <c r="E152" i="14"/>
  <c r="E153" i="14"/>
  <c r="E154" i="14"/>
  <c r="E155" i="14"/>
  <c r="E156" i="14"/>
  <c r="E157" i="14"/>
  <c r="E158" i="14"/>
  <c r="E159" i="14"/>
  <c r="E160" i="14"/>
  <c r="E161" i="14"/>
  <c r="E162" i="14"/>
  <c r="E163" i="14"/>
  <c r="E164" i="14"/>
  <c r="E165" i="14"/>
  <c r="E166" i="14"/>
  <c r="E167" i="14"/>
  <c r="E168" i="14"/>
  <c r="E169" i="14"/>
  <c r="E170" i="14"/>
  <c r="E171" i="14"/>
  <c r="E172" i="14"/>
  <c r="E173" i="14"/>
  <c r="E174" i="14"/>
  <c r="E175" i="14"/>
  <c r="E176" i="14"/>
  <c r="E177" i="14"/>
  <c r="E178" i="14"/>
  <c r="E179" i="14"/>
  <c r="E180" i="14"/>
  <c r="E181" i="14"/>
  <c r="E182" i="14"/>
  <c r="E183" i="14"/>
  <c r="E184" i="14"/>
  <c r="E185" i="14"/>
  <c r="E186" i="14"/>
  <c r="E187" i="14"/>
  <c r="E188" i="14"/>
  <c r="E189" i="14"/>
  <c r="E190" i="14"/>
  <c r="E191" i="14"/>
  <c r="E192" i="14"/>
  <c r="E193" i="14"/>
  <c r="E194" i="14"/>
  <c r="E195" i="14"/>
  <c r="E196" i="14"/>
  <c r="E197" i="14"/>
  <c r="E198" i="14"/>
  <c r="E199" i="14"/>
  <c r="E2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C101" i="14"/>
  <c r="D101" i="14"/>
  <c r="C102" i="14"/>
  <c r="D102" i="14"/>
  <c r="C103" i="14"/>
  <c r="D103" i="14"/>
  <c r="C104" i="14"/>
  <c r="D104" i="14"/>
  <c r="C105" i="14"/>
  <c r="D105" i="14"/>
  <c r="C106" i="14"/>
  <c r="D106" i="14"/>
  <c r="C107" i="14"/>
  <c r="D107" i="14"/>
  <c r="C108" i="14"/>
  <c r="D108" i="14"/>
  <c r="C109" i="14"/>
  <c r="D109" i="14"/>
  <c r="C110" i="14"/>
  <c r="D110" i="14"/>
  <c r="C111" i="14"/>
  <c r="D111" i="14"/>
  <c r="C112" i="14"/>
  <c r="D112" i="14"/>
  <c r="C113" i="14"/>
  <c r="D113" i="14"/>
  <c r="C114" i="14"/>
  <c r="D114" i="14"/>
  <c r="C115" i="14"/>
  <c r="D115" i="14"/>
  <c r="C116" i="14"/>
  <c r="D116" i="14"/>
  <c r="C117" i="14"/>
  <c r="D117" i="14"/>
  <c r="C118" i="14"/>
  <c r="D118" i="14"/>
  <c r="C119" i="14"/>
  <c r="D119" i="14"/>
  <c r="C120" i="14"/>
  <c r="D120" i="14"/>
  <c r="C121" i="14"/>
  <c r="D121" i="14"/>
  <c r="C122" i="14"/>
  <c r="D122" i="14"/>
  <c r="C123" i="14"/>
  <c r="D123" i="14"/>
  <c r="C124" i="14"/>
  <c r="D124" i="14"/>
  <c r="C125" i="14"/>
  <c r="D125" i="14"/>
  <c r="C126" i="14"/>
  <c r="D126" i="14"/>
  <c r="C127" i="14"/>
  <c r="D127" i="14"/>
  <c r="C128" i="14"/>
  <c r="D128" i="14"/>
  <c r="C129" i="14"/>
  <c r="D129" i="14"/>
  <c r="C130" i="14"/>
  <c r="D130" i="14"/>
  <c r="C131" i="14"/>
  <c r="D131" i="14"/>
  <c r="C132" i="14"/>
  <c r="D132" i="14"/>
  <c r="C133" i="14"/>
  <c r="D133" i="14"/>
  <c r="C134" i="14"/>
  <c r="D134" i="14"/>
  <c r="C135" i="14"/>
  <c r="D135" i="14"/>
  <c r="C136" i="14"/>
  <c r="D136" i="14"/>
  <c r="C137" i="14"/>
  <c r="D137" i="14"/>
  <c r="C138" i="14"/>
  <c r="D138" i="14"/>
  <c r="C139" i="14"/>
  <c r="D139" i="14"/>
  <c r="C140" i="14"/>
  <c r="D140" i="14"/>
  <c r="C141" i="14"/>
  <c r="D141" i="14"/>
  <c r="C142" i="14"/>
  <c r="D142" i="14"/>
  <c r="C143" i="14"/>
  <c r="D143" i="14"/>
  <c r="C144" i="14"/>
  <c r="D144" i="14"/>
  <c r="C145" i="14"/>
  <c r="D145" i="14"/>
  <c r="C146" i="14"/>
  <c r="D146" i="14"/>
  <c r="C147" i="14"/>
  <c r="D147" i="14"/>
  <c r="C148" i="14"/>
  <c r="D148" i="14"/>
  <c r="C149" i="14"/>
  <c r="D149" i="14"/>
  <c r="C150" i="14"/>
  <c r="D150" i="14"/>
  <c r="C151" i="14"/>
  <c r="D151" i="14"/>
  <c r="C152" i="14"/>
  <c r="D152" i="14"/>
  <c r="C153" i="14"/>
  <c r="D153" i="14"/>
  <c r="C154" i="14"/>
  <c r="D154" i="14"/>
  <c r="C155" i="14"/>
  <c r="D155" i="14"/>
  <c r="C156" i="14"/>
  <c r="D156" i="14"/>
  <c r="C157" i="14"/>
  <c r="D157" i="14"/>
  <c r="C158" i="14"/>
  <c r="D158" i="14"/>
  <c r="C159" i="14"/>
  <c r="D159" i="14"/>
  <c r="C160" i="14"/>
  <c r="D160" i="14"/>
  <c r="C161" i="14"/>
  <c r="D161" i="14"/>
  <c r="C162" i="14"/>
  <c r="D162" i="14"/>
  <c r="C163" i="14"/>
  <c r="D163" i="14"/>
  <c r="C164" i="14"/>
  <c r="D164" i="14"/>
  <c r="C165" i="14"/>
  <c r="D165" i="14"/>
  <c r="C166" i="14"/>
  <c r="D166" i="14"/>
  <c r="C167" i="14"/>
  <c r="D167" i="14"/>
  <c r="C168" i="14"/>
  <c r="D168" i="14"/>
  <c r="C169" i="14"/>
  <c r="D169" i="14"/>
  <c r="C170" i="14"/>
  <c r="D170" i="14"/>
  <c r="C171" i="14"/>
  <c r="D171" i="14"/>
  <c r="C172" i="14"/>
  <c r="D172" i="14"/>
  <c r="C173" i="14"/>
  <c r="D173" i="14"/>
  <c r="C174" i="14"/>
  <c r="D174" i="14"/>
  <c r="C175" i="14"/>
  <c r="D175" i="14"/>
  <c r="C176" i="14"/>
  <c r="D176" i="14"/>
  <c r="C177" i="14"/>
  <c r="D177" i="14"/>
  <c r="C178" i="14"/>
  <c r="D178" i="14"/>
  <c r="C179" i="14"/>
  <c r="D179" i="14"/>
  <c r="C180" i="14"/>
  <c r="D180" i="14"/>
  <c r="C181" i="14"/>
  <c r="D181" i="14"/>
  <c r="C182" i="14"/>
  <c r="D182" i="14"/>
  <c r="C183" i="14"/>
  <c r="D183" i="14"/>
  <c r="C184" i="14"/>
  <c r="D184" i="14"/>
  <c r="C185" i="14"/>
  <c r="D185" i="14"/>
  <c r="C186" i="14"/>
  <c r="D186" i="14"/>
  <c r="C187" i="14"/>
  <c r="D187" i="14"/>
  <c r="C188" i="14"/>
  <c r="D188" i="14"/>
  <c r="C189" i="14"/>
  <c r="D189" i="14"/>
  <c r="C190" i="14"/>
  <c r="D190" i="14"/>
  <c r="C191" i="14"/>
  <c r="D191" i="14"/>
  <c r="C192" i="14"/>
  <c r="D192" i="14"/>
  <c r="C193" i="14"/>
  <c r="D193" i="14"/>
  <c r="C194" i="14"/>
  <c r="D194" i="14"/>
  <c r="C195" i="14"/>
  <c r="D195" i="14"/>
  <c r="C196" i="14"/>
  <c r="D196" i="14"/>
  <c r="C197" i="14"/>
  <c r="D197" i="14"/>
  <c r="C198" i="14"/>
  <c r="D198" i="14"/>
  <c r="C199" i="14"/>
  <c r="D199" i="14"/>
  <c r="C200" i="14"/>
  <c r="D200" i="14"/>
  <c r="A2" i="14" a="1"/>
  <c r="A2" i="14" s="1"/>
  <c r="B2" i="14" s="1"/>
  <c r="CV8" i="1"/>
  <c r="CV7" i="1"/>
  <c r="CE8" i="1"/>
  <c r="CE7" i="1"/>
  <c r="CE9" i="1"/>
  <c r="CE10" i="1"/>
  <c r="CE11" i="1"/>
  <c r="BP2" i="1"/>
  <c r="CE12" i="1"/>
  <c r="CV10" i="1"/>
  <c r="CV11" i="1"/>
  <c r="CV9" i="1"/>
  <c r="CV12" i="1"/>
  <c r="AK2" i="1"/>
  <c r="CY2" i="1" s="1"/>
  <c r="I2" i="1"/>
  <c r="AB10" i="1" a="1"/>
  <c r="H3" i="18" l="1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H18" i="18" s="1"/>
  <c r="H19" i="18" s="1"/>
  <c r="H20" i="18" s="1"/>
  <c r="H21" i="18" s="1"/>
  <c r="H22" i="18" s="1"/>
  <c r="H23" i="18" s="1"/>
  <c r="H24" i="18" s="1"/>
  <c r="H25" i="18" s="1"/>
  <c r="H26" i="18" s="1"/>
  <c r="H27" i="18" s="1"/>
  <c r="H28" i="18" s="1"/>
  <c r="H29" i="18" s="1"/>
  <c r="H30" i="18" s="1"/>
  <c r="H31" i="18" s="1"/>
  <c r="H32" i="18" s="1"/>
  <c r="H33" i="18" s="1"/>
  <c r="H34" i="18" s="1"/>
  <c r="H35" i="18" s="1"/>
  <c r="H36" i="18" s="1"/>
  <c r="H37" i="18" s="1"/>
  <c r="H38" i="18" s="1"/>
  <c r="H39" i="18" s="1"/>
  <c r="H40" i="18" s="1"/>
  <c r="H41" i="18" s="1"/>
  <c r="H42" i="18" s="1"/>
  <c r="H43" i="18" s="1"/>
  <c r="H44" i="18" s="1"/>
  <c r="H45" i="18" s="1"/>
  <c r="H46" i="18" s="1"/>
  <c r="H47" i="18" s="1"/>
  <c r="H48" i="18" s="1"/>
  <c r="H49" i="18" s="1"/>
  <c r="H50" i="18" s="1"/>
  <c r="H51" i="18" s="1"/>
  <c r="H52" i="18" s="1"/>
  <c r="H53" i="18" s="1"/>
  <c r="H54" i="18" s="1"/>
  <c r="H55" i="18" s="1"/>
  <c r="H56" i="18" s="1"/>
  <c r="H57" i="18" s="1"/>
  <c r="H58" i="18" s="1"/>
  <c r="H59" i="18" s="1"/>
  <c r="H60" i="18" s="1"/>
  <c r="H61" i="18" s="1"/>
  <c r="H62" i="18" s="1"/>
  <c r="H63" i="18" s="1"/>
  <c r="H64" i="18" s="1"/>
  <c r="H65" i="18" s="1"/>
  <c r="H66" i="18" s="1"/>
  <c r="H67" i="18" s="1"/>
  <c r="H68" i="18" s="1"/>
  <c r="H69" i="18" s="1"/>
  <c r="H70" i="18" s="1"/>
  <c r="H71" i="18" s="1"/>
  <c r="H72" i="18" s="1"/>
  <c r="H73" i="18" s="1"/>
  <c r="H74" i="18" s="1"/>
  <c r="H75" i="18" s="1"/>
  <c r="H76" i="18" s="1"/>
  <c r="H77" i="18" s="1"/>
  <c r="H78" i="18" s="1"/>
  <c r="H79" i="18" s="1"/>
  <c r="H80" i="18" s="1"/>
  <c r="H81" i="18" s="1"/>
  <c r="H82" i="18" s="1"/>
  <c r="H83" i="18" s="1"/>
  <c r="H84" i="18" s="1"/>
  <c r="H85" i="18" s="1"/>
  <c r="H86" i="18" s="1"/>
  <c r="H87" i="18" s="1"/>
  <c r="H88" i="18" s="1"/>
  <c r="H89" i="18" s="1"/>
  <c r="H90" i="18" s="1"/>
  <c r="H91" i="18" s="1"/>
  <c r="H92" i="18" s="1"/>
  <c r="H93" i="18" s="1"/>
  <c r="H94" i="18" s="1"/>
  <c r="H95" i="18" s="1"/>
  <c r="H96" i="18" s="1"/>
  <c r="H97" i="18" s="1"/>
  <c r="H98" i="18" s="1"/>
  <c r="H99" i="18" s="1"/>
  <c r="H100" i="18" s="1"/>
  <c r="H101" i="18" s="1"/>
  <c r="H102" i="18" s="1"/>
  <c r="AB7" i="1"/>
  <c r="B1" i="15" s="1"/>
  <c r="H10" i="15" s="1"/>
  <c r="AV30" i="1"/>
  <c r="AB10" i="1"/>
  <c r="AB8" i="1"/>
  <c r="C100" i="14"/>
  <c r="B100" i="14"/>
  <c r="B10" i="15"/>
  <c r="C95" i="14"/>
  <c r="C31" i="14"/>
  <c r="B83" i="14"/>
  <c r="B19" i="14"/>
  <c r="C87" i="14"/>
  <c r="C23" i="14"/>
  <c r="B75" i="14"/>
  <c r="B11" i="14"/>
  <c r="C79" i="14"/>
  <c r="C15" i="14"/>
  <c r="B67" i="14"/>
  <c r="B3" i="14"/>
  <c r="C71" i="14"/>
  <c r="C7" i="14"/>
  <c r="B59" i="14"/>
  <c r="C63" i="14"/>
  <c r="B51" i="14"/>
  <c r="C55" i="14"/>
  <c r="B43" i="14"/>
  <c r="C47" i="14"/>
  <c r="B99" i="14"/>
  <c r="B35" i="14"/>
  <c r="C39" i="14"/>
  <c r="B91" i="14"/>
  <c r="B27" i="14"/>
  <c r="C94" i="14"/>
  <c r="C86" i="14"/>
  <c r="C78" i="14"/>
  <c r="C70" i="14"/>
  <c r="D71" i="14" s="1"/>
  <c r="C62" i="14"/>
  <c r="C54" i="14"/>
  <c r="C46" i="14"/>
  <c r="C38" i="14"/>
  <c r="C30" i="14"/>
  <c r="D31" i="14" s="1"/>
  <c r="C22" i="14"/>
  <c r="C14" i="14"/>
  <c r="C6" i="14"/>
  <c r="B98" i="14"/>
  <c r="B90" i="14"/>
  <c r="B82" i="14"/>
  <c r="B74" i="14"/>
  <c r="B66" i="14"/>
  <c r="B58" i="14"/>
  <c r="B50" i="14"/>
  <c r="B42" i="14"/>
  <c r="B34" i="14"/>
  <c r="B26" i="14"/>
  <c r="B18" i="14"/>
  <c r="B10" i="14"/>
  <c r="C93" i="14"/>
  <c r="D94" i="14" s="1"/>
  <c r="C85" i="14"/>
  <c r="C77" i="14"/>
  <c r="C69" i="14"/>
  <c r="C61" i="14"/>
  <c r="D62" i="14" s="1"/>
  <c r="C53" i="14"/>
  <c r="C45" i="14"/>
  <c r="C37" i="14"/>
  <c r="C29" i="14"/>
  <c r="D30" i="14" s="1"/>
  <c r="C21" i="14"/>
  <c r="C13" i="14"/>
  <c r="C5" i="14"/>
  <c r="B97" i="14"/>
  <c r="B89" i="14"/>
  <c r="B81" i="14"/>
  <c r="B73" i="14"/>
  <c r="B65" i="14"/>
  <c r="B57" i="14"/>
  <c r="B49" i="14"/>
  <c r="B41" i="14"/>
  <c r="B33" i="14"/>
  <c r="B25" i="14"/>
  <c r="B17" i="14"/>
  <c r="B9" i="14"/>
  <c r="C2" i="14"/>
  <c r="C92" i="14"/>
  <c r="C84" i="14"/>
  <c r="C76" i="14"/>
  <c r="C68" i="14"/>
  <c r="C60" i="14"/>
  <c r="C52" i="14"/>
  <c r="C44" i="14"/>
  <c r="C36" i="14"/>
  <c r="C28" i="14"/>
  <c r="C20" i="14"/>
  <c r="C12" i="14"/>
  <c r="C4" i="14"/>
  <c r="B96" i="14"/>
  <c r="B88" i="14"/>
  <c r="B80" i="14"/>
  <c r="B72" i="14"/>
  <c r="B64" i="14"/>
  <c r="B56" i="14"/>
  <c r="B48" i="14"/>
  <c r="B40" i="14"/>
  <c r="B32" i="14"/>
  <c r="B24" i="14"/>
  <c r="B16" i="14"/>
  <c r="B8" i="14"/>
  <c r="B7" i="14"/>
  <c r="C99" i="14"/>
  <c r="D100" i="14" s="1"/>
  <c r="C83" i="14"/>
  <c r="C75" i="14"/>
  <c r="C59" i="14"/>
  <c r="C43" i="14"/>
  <c r="C35" i="14"/>
  <c r="C19" i="14"/>
  <c r="C3" i="14"/>
  <c r="B87" i="14"/>
  <c r="B71" i="14"/>
  <c r="B55" i="14"/>
  <c r="B15" i="14"/>
  <c r="C98" i="14"/>
  <c r="C90" i="14"/>
  <c r="C82" i="14"/>
  <c r="C74" i="14"/>
  <c r="C66" i="14"/>
  <c r="C58" i="14"/>
  <c r="C50" i="14"/>
  <c r="C42" i="14"/>
  <c r="C34" i="14"/>
  <c r="C26" i="14"/>
  <c r="C18" i="14"/>
  <c r="C10" i="14"/>
  <c r="B94" i="14"/>
  <c r="B86" i="14"/>
  <c r="B78" i="14"/>
  <c r="B70" i="14"/>
  <c r="B62" i="14"/>
  <c r="B54" i="14"/>
  <c r="B46" i="14"/>
  <c r="B38" i="14"/>
  <c r="B30" i="14"/>
  <c r="B22" i="14"/>
  <c r="B14" i="14"/>
  <c r="B6" i="14"/>
  <c r="C91" i="14"/>
  <c r="C67" i="14"/>
  <c r="C51" i="14"/>
  <c r="C27" i="14"/>
  <c r="C11" i="14"/>
  <c r="B95" i="14"/>
  <c r="B79" i="14"/>
  <c r="B63" i="14"/>
  <c r="B47" i="14"/>
  <c r="B39" i="14"/>
  <c r="B31" i="14"/>
  <c r="B23" i="14"/>
  <c r="C97" i="14"/>
  <c r="C89" i="14"/>
  <c r="C81" i="14"/>
  <c r="C73" i="14"/>
  <c r="C65" i="14"/>
  <c r="C57" i="14"/>
  <c r="C49" i="14"/>
  <c r="C41" i="14"/>
  <c r="C33" i="14"/>
  <c r="C25" i="14"/>
  <c r="C17" i="14"/>
  <c r="C9" i="14"/>
  <c r="B93" i="14"/>
  <c r="B85" i="14"/>
  <c r="B77" i="14"/>
  <c r="B69" i="14"/>
  <c r="B61" i="14"/>
  <c r="B53" i="14"/>
  <c r="B45" i="14"/>
  <c r="B37" i="14"/>
  <c r="B29" i="14"/>
  <c r="B21" i="14"/>
  <c r="B13" i="14"/>
  <c r="B5" i="14"/>
  <c r="C96" i="14"/>
  <c r="C88" i="14"/>
  <c r="C80" i="14"/>
  <c r="C72" i="14"/>
  <c r="C64" i="14"/>
  <c r="C56" i="14"/>
  <c r="C48" i="14"/>
  <c r="C40" i="14"/>
  <c r="C32" i="14"/>
  <c r="C24" i="14"/>
  <c r="C16" i="14"/>
  <c r="C8" i="14"/>
  <c r="B92" i="14"/>
  <c r="B84" i="14"/>
  <c r="B76" i="14"/>
  <c r="B68" i="14"/>
  <c r="B60" i="14"/>
  <c r="B52" i="14"/>
  <c r="B44" i="14"/>
  <c r="B36" i="14"/>
  <c r="B28" i="14"/>
  <c r="B20" i="14"/>
  <c r="B12" i="14"/>
  <c r="B4" i="14"/>
  <c r="L31" i="1" a="1"/>
  <c r="H35" i="15" l="1"/>
  <c r="H23" i="15"/>
  <c r="A4" i="18"/>
  <c r="A8" i="18" s="1"/>
  <c r="C3" i="18" s="1"/>
  <c r="C4" i="18" s="1"/>
  <c r="E3" i="18"/>
  <c r="E11" i="18"/>
  <c r="E19" i="18"/>
  <c r="E27" i="18"/>
  <c r="E35" i="18"/>
  <c r="E43" i="18"/>
  <c r="E51" i="18"/>
  <c r="E59" i="18"/>
  <c r="E67" i="18"/>
  <c r="E75" i="18"/>
  <c r="E83" i="18"/>
  <c r="E91" i="18"/>
  <c r="E99" i="18"/>
  <c r="E50" i="18"/>
  <c r="E74" i="18"/>
  <c r="E4" i="18"/>
  <c r="E12" i="18"/>
  <c r="E20" i="18"/>
  <c r="E28" i="18"/>
  <c r="E36" i="18"/>
  <c r="E44" i="18"/>
  <c r="E52" i="18"/>
  <c r="E60" i="18"/>
  <c r="E68" i="18"/>
  <c r="E76" i="18"/>
  <c r="E84" i="18"/>
  <c r="E92" i="18"/>
  <c r="E100" i="18"/>
  <c r="E34" i="18"/>
  <c r="E5" i="18"/>
  <c r="E13" i="18"/>
  <c r="E21" i="18"/>
  <c r="E29" i="18"/>
  <c r="E37" i="18"/>
  <c r="E45" i="18"/>
  <c r="E53" i="18"/>
  <c r="E61" i="18"/>
  <c r="E69" i="18"/>
  <c r="E77" i="18"/>
  <c r="E85" i="18"/>
  <c r="E93" i="18"/>
  <c r="E101" i="18"/>
  <c r="E26" i="18"/>
  <c r="E58" i="18"/>
  <c r="E90" i="18"/>
  <c r="E6" i="18"/>
  <c r="E14" i="18"/>
  <c r="E22" i="18"/>
  <c r="E30" i="18"/>
  <c r="E38" i="18"/>
  <c r="E46" i="18"/>
  <c r="E54" i="18"/>
  <c r="E62" i="18"/>
  <c r="E70" i="18"/>
  <c r="E78" i="18"/>
  <c r="E86" i="18"/>
  <c r="E94" i="18"/>
  <c r="E102" i="18"/>
  <c r="E2" i="18"/>
  <c r="E42" i="18"/>
  <c r="E82" i="18"/>
  <c r="E7" i="18"/>
  <c r="E15" i="18"/>
  <c r="E23" i="18"/>
  <c r="E31" i="18"/>
  <c r="E39" i="18"/>
  <c r="E47" i="18"/>
  <c r="E55" i="18"/>
  <c r="E63" i="18"/>
  <c r="E71" i="18"/>
  <c r="E79" i="18"/>
  <c r="E87" i="18"/>
  <c r="E95" i="18"/>
  <c r="E10" i="18"/>
  <c r="E8" i="18"/>
  <c r="E16" i="18"/>
  <c r="E24" i="18"/>
  <c r="E32" i="18"/>
  <c r="E40" i="18"/>
  <c r="E48" i="18"/>
  <c r="E56" i="18"/>
  <c r="E64" i="18"/>
  <c r="E72" i="18"/>
  <c r="E80" i="18"/>
  <c r="E88" i="18"/>
  <c r="E96" i="18"/>
  <c r="E9" i="18"/>
  <c r="E17" i="18"/>
  <c r="E25" i="18"/>
  <c r="E33" i="18"/>
  <c r="E41" i="18"/>
  <c r="E49" i="18"/>
  <c r="E57" i="18"/>
  <c r="E65" i="18"/>
  <c r="E73" i="18"/>
  <c r="E81" i="18"/>
  <c r="E89" i="18"/>
  <c r="E97" i="18"/>
  <c r="E18" i="18"/>
  <c r="E66" i="18"/>
  <c r="E98" i="18"/>
  <c r="H48" i="15"/>
  <c r="I4" i="18"/>
  <c r="I3" i="18"/>
  <c r="I5" i="18"/>
  <c r="H67" i="15"/>
  <c r="H116" i="15"/>
  <c r="H141" i="15"/>
  <c r="H80" i="15"/>
  <c r="H18" i="15"/>
  <c r="H84" i="15"/>
  <c r="H137" i="15"/>
  <c r="H173" i="15"/>
  <c r="H198" i="15"/>
  <c r="L31" i="1"/>
  <c r="H50" i="15"/>
  <c r="H99" i="15"/>
  <c r="H148" i="15"/>
  <c r="H6" i="15"/>
  <c r="H55" i="15"/>
  <c r="H112" i="15"/>
  <c r="H193" i="15"/>
  <c r="H82" i="15"/>
  <c r="H131" i="15"/>
  <c r="H180" i="15"/>
  <c r="H38" i="15"/>
  <c r="H87" i="15"/>
  <c r="H144" i="15"/>
  <c r="H114" i="15"/>
  <c r="H163" i="15"/>
  <c r="H13" i="15"/>
  <c r="H70" i="15"/>
  <c r="H119" i="15"/>
  <c r="H176" i="15"/>
  <c r="H146" i="15"/>
  <c r="H195" i="15"/>
  <c r="H45" i="15"/>
  <c r="H102" i="15"/>
  <c r="H151" i="15"/>
  <c r="H9" i="15"/>
  <c r="H178" i="15"/>
  <c r="H20" i="15"/>
  <c r="H77" i="15"/>
  <c r="H134" i="15"/>
  <c r="H183" i="15"/>
  <c r="H41" i="15"/>
  <c r="H3" i="15"/>
  <c r="H52" i="15"/>
  <c r="H109" i="15"/>
  <c r="H166" i="15"/>
  <c r="H16" i="15"/>
  <c r="H73" i="15"/>
  <c r="H105" i="15"/>
  <c r="H58" i="15"/>
  <c r="H122" i="15"/>
  <c r="H186" i="15"/>
  <c r="H43" i="15"/>
  <c r="H107" i="15"/>
  <c r="H171" i="15"/>
  <c r="H28" i="15"/>
  <c r="H92" i="15"/>
  <c r="H156" i="15"/>
  <c r="H21" i="15"/>
  <c r="H85" i="15"/>
  <c r="H149" i="15"/>
  <c r="H14" i="15"/>
  <c r="H78" i="15"/>
  <c r="H142" i="15"/>
  <c r="B8" i="15"/>
  <c r="H63" i="15"/>
  <c r="H127" i="15"/>
  <c r="H191" i="15"/>
  <c r="H56" i="15"/>
  <c r="H120" i="15"/>
  <c r="H184" i="15"/>
  <c r="H49" i="15"/>
  <c r="H113" i="15"/>
  <c r="H201" i="15"/>
  <c r="H66" i="15"/>
  <c r="H130" i="15"/>
  <c r="H194" i="15"/>
  <c r="H51" i="15"/>
  <c r="H115" i="15"/>
  <c r="H179" i="15"/>
  <c r="H36" i="15"/>
  <c r="H100" i="15"/>
  <c r="H164" i="15"/>
  <c r="H29" i="15"/>
  <c r="H93" i="15"/>
  <c r="H157" i="15"/>
  <c r="H22" i="15"/>
  <c r="H86" i="15"/>
  <c r="H150" i="15"/>
  <c r="H7" i="15"/>
  <c r="H71" i="15"/>
  <c r="H135" i="15"/>
  <c r="H199" i="15"/>
  <c r="H64" i="15"/>
  <c r="H128" i="15"/>
  <c r="H192" i="15"/>
  <c r="H57" i="15"/>
  <c r="H121" i="15"/>
  <c r="H74" i="15"/>
  <c r="H138" i="15"/>
  <c r="H202" i="15"/>
  <c r="H59" i="15"/>
  <c r="H123" i="15"/>
  <c r="H187" i="15"/>
  <c r="H44" i="15"/>
  <c r="H108" i="15"/>
  <c r="H172" i="15"/>
  <c r="H37" i="15"/>
  <c r="H101" i="15"/>
  <c r="H165" i="15"/>
  <c r="H30" i="15"/>
  <c r="H94" i="15"/>
  <c r="H158" i="15"/>
  <c r="H15" i="15"/>
  <c r="H79" i="15"/>
  <c r="H143" i="15"/>
  <c r="H8" i="15"/>
  <c r="H72" i="15"/>
  <c r="H136" i="15"/>
  <c r="H200" i="15"/>
  <c r="H65" i="15"/>
  <c r="H129" i="15"/>
  <c r="H26" i="15"/>
  <c r="H90" i="15"/>
  <c r="H154" i="15"/>
  <c r="H11" i="15"/>
  <c r="H75" i="15"/>
  <c r="H139" i="15"/>
  <c r="H2" i="15"/>
  <c r="H60" i="15"/>
  <c r="H124" i="15"/>
  <c r="H188" i="15"/>
  <c r="H53" i="15"/>
  <c r="H117" i="15"/>
  <c r="H181" i="15"/>
  <c r="H46" i="15"/>
  <c r="H110" i="15"/>
  <c r="H174" i="15"/>
  <c r="H31" i="15"/>
  <c r="H95" i="15"/>
  <c r="H159" i="15"/>
  <c r="H24" i="15"/>
  <c r="H88" i="15"/>
  <c r="H152" i="15"/>
  <c r="H17" i="15"/>
  <c r="H81" i="15"/>
  <c r="H145" i="15"/>
  <c r="H34" i="15"/>
  <c r="H98" i="15"/>
  <c r="H162" i="15"/>
  <c r="H19" i="15"/>
  <c r="H83" i="15"/>
  <c r="H147" i="15"/>
  <c r="H4" i="15"/>
  <c r="H68" i="15"/>
  <c r="H132" i="15"/>
  <c r="H196" i="15"/>
  <c r="H61" i="15"/>
  <c r="H125" i="15"/>
  <c r="H189" i="15"/>
  <c r="H54" i="15"/>
  <c r="H118" i="15"/>
  <c r="H182" i="15"/>
  <c r="H39" i="15"/>
  <c r="H103" i="15"/>
  <c r="H167" i="15"/>
  <c r="H32" i="15"/>
  <c r="H96" i="15"/>
  <c r="H160" i="15"/>
  <c r="H25" i="15"/>
  <c r="H89" i="15"/>
  <c r="H153" i="15"/>
  <c r="H42" i="15"/>
  <c r="H106" i="15"/>
  <c r="H170" i="15"/>
  <c r="H27" i="15"/>
  <c r="H91" i="15"/>
  <c r="H155" i="15"/>
  <c r="H12" i="15"/>
  <c r="H76" i="15"/>
  <c r="H140" i="15"/>
  <c r="H5" i="15"/>
  <c r="H69" i="15"/>
  <c r="H133" i="15"/>
  <c r="H197" i="15"/>
  <c r="H62" i="15"/>
  <c r="H126" i="15"/>
  <c r="H190" i="15"/>
  <c r="H47" i="15"/>
  <c r="H111" i="15"/>
  <c r="H175" i="15"/>
  <c r="H40" i="15"/>
  <c r="H104" i="15"/>
  <c r="H168" i="15"/>
  <c r="H33" i="15"/>
  <c r="H97" i="15"/>
  <c r="H161" i="15"/>
  <c r="H169" i="15"/>
  <c r="H177" i="15"/>
  <c r="H185" i="15"/>
  <c r="D56" i="14"/>
  <c r="D16" i="14"/>
  <c r="D32" i="14"/>
  <c r="D7" i="14"/>
  <c r="D48" i="14"/>
  <c r="D51" i="14"/>
  <c r="D68" i="14"/>
  <c r="D63" i="14"/>
  <c r="D40" i="14"/>
  <c r="D64" i="14"/>
  <c r="D15" i="14"/>
  <c r="D53" i="14"/>
  <c r="D8" i="14"/>
  <c r="D93" i="14"/>
  <c r="D24" i="14"/>
  <c r="D88" i="14"/>
  <c r="D55" i="14"/>
  <c r="D14" i="14"/>
  <c r="D61" i="14"/>
  <c r="D37" i="14"/>
  <c r="D11" i="14"/>
  <c r="D39" i="14"/>
  <c r="D84" i="14"/>
  <c r="D54" i="14"/>
  <c r="D12" i="14"/>
  <c r="D52" i="14"/>
  <c r="D74" i="14"/>
  <c r="D60" i="14"/>
  <c r="D29" i="14"/>
  <c r="D36" i="14"/>
  <c r="D77" i="14"/>
  <c r="D87" i="14"/>
  <c r="D78" i="14"/>
  <c r="D72" i="14"/>
  <c r="D27" i="14"/>
  <c r="D13" i="14"/>
  <c r="D4" i="14"/>
  <c r="D80" i="14"/>
  <c r="D38" i="14"/>
  <c r="D96" i="14"/>
  <c r="D91" i="14"/>
  <c r="D41" i="14"/>
  <c r="D10" i="14"/>
  <c r="D18" i="14"/>
  <c r="D22" i="14"/>
  <c r="D79" i="14"/>
  <c r="D95" i="14"/>
  <c r="D20" i="14"/>
  <c r="D17" i="14"/>
  <c r="D81" i="14"/>
  <c r="D5" i="14"/>
  <c r="D69" i="14"/>
  <c r="D73" i="14"/>
  <c r="D66" i="14"/>
  <c r="D92" i="14"/>
  <c r="D49" i="14"/>
  <c r="D23" i="14"/>
  <c r="D57" i="14"/>
  <c r="D75" i="14"/>
  <c r="D85" i="14"/>
  <c r="D44" i="14"/>
  <c r="D9" i="14"/>
  <c r="D65" i="14"/>
  <c r="D26" i="14"/>
  <c r="D90" i="14"/>
  <c r="D83" i="14"/>
  <c r="D3" i="14"/>
  <c r="D45" i="14"/>
  <c r="D25" i="14"/>
  <c r="D89" i="14"/>
  <c r="D50" i="14"/>
  <c r="D42" i="14"/>
  <c r="D33" i="14"/>
  <c r="D97" i="14"/>
  <c r="D67" i="14"/>
  <c r="D28" i="14"/>
  <c r="D98" i="14"/>
  <c r="D59" i="14"/>
  <c r="D6" i="14"/>
  <c r="D58" i="14"/>
  <c r="D99" i="14"/>
  <c r="D46" i="14"/>
  <c r="D34" i="14"/>
  <c r="D19" i="14"/>
  <c r="D70" i="14"/>
  <c r="D76" i="14"/>
  <c r="D47" i="14"/>
  <c r="D82" i="14"/>
  <c r="D35" i="14"/>
  <c r="D21" i="14"/>
  <c r="D86" i="14"/>
  <c r="D43" i="14"/>
  <c r="C5" i="18" l="1"/>
  <c r="I6" i="18"/>
  <c r="E3" i="14"/>
  <c r="C6" i="18" l="1"/>
  <c r="I7" i="18"/>
  <c r="E4" i="14"/>
  <c r="F3" i="14"/>
  <c r="C7" i="18" l="1"/>
  <c r="I8" i="18"/>
  <c r="E5" i="14"/>
  <c r="F4" i="14"/>
  <c r="G3" i="14"/>
  <c r="H3" i="14"/>
  <c r="C8" i="18" l="1"/>
  <c r="I9" i="18"/>
  <c r="E6" i="14"/>
  <c r="F5" i="14"/>
  <c r="G4" i="14"/>
  <c r="H4" i="14"/>
  <c r="C9" i="18" l="1"/>
  <c r="I10" i="18"/>
  <c r="G5" i="14"/>
  <c r="H5" i="14"/>
  <c r="E7" i="14"/>
  <c r="F6" i="14"/>
  <c r="C10" i="18" l="1"/>
  <c r="I11" i="18"/>
  <c r="E8" i="14"/>
  <c r="F7" i="14"/>
  <c r="G6" i="14"/>
  <c r="H6" i="14"/>
  <c r="C11" i="18" l="1"/>
  <c r="I12" i="18"/>
  <c r="E9" i="14"/>
  <c r="F8" i="14"/>
  <c r="G7" i="14"/>
  <c r="H7" i="14"/>
  <c r="C12" i="18" l="1"/>
  <c r="I13" i="18"/>
  <c r="E10" i="14"/>
  <c r="F9" i="14"/>
  <c r="G8" i="14"/>
  <c r="H8" i="14"/>
  <c r="C13" i="18" l="1"/>
  <c r="I14" i="18"/>
  <c r="E11" i="14"/>
  <c r="F10" i="14"/>
  <c r="G9" i="14"/>
  <c r="H9" i="14"/>
  <c r="C14" i="18" l="1"/>
  <c r="I15" i="18"/>
  <c r="G10" i="14"/>
  <c r="H10" i="14"/>
  <c r="E12" i="14"/>
  <c r="F11" i="14"/>
  <c r="C15" i="18" l="1"/>
  <c r="I16" i="18"/>
  <c r="E13" i="14"/>
  <c r="F12" i="14"/>
  <c r="H11" i="14"/>
  <c r="G11" i="14"/>
  <c r="C16" i="18" l="1"/>
  <c r="I17" i="18"/>
  <c r="E14" i="14"/>
  <c r="F13" i="14"/>
  <c r="G12" i="14"/>
  <c r="H12" i="14"/>
  <c r="C17" i="18" l="1"/>
  <c r="I18" i="18"/>
  <c r="E15" i="14"/>
  <c r="F14" i="14"/>
  <c r="H13" i="14"/>
  <c r="G13" i="14"/>
  <c r="C18" i="18" l="1"/>
  <c r="I19" i="18"/>
  <c r="E16" i="14"/>
  <c r="F15" i="14"/>
  <c r="G14" i="14"/>
  <c r="H14" i="14"/>
  <c r="C19" i="18" l="1"/>
  <c r="I20" i="18"/>
  <c r="E17" i="14"/>
  <c r="F16" i="14"/>
  <c r="G15" i="14"/>
  <c r="H15" i="14"/>
  <c r="C20" i="18" l="1"/>
  <c r="I21" i="18"/>
  <c r="E18" i="14"/>
  <c r="F17" i="14"/>
  <c r="G16" i="14"/>
  <c r="H16" i="14"/>
  <c r="C21" i="18" l="1"/>
  <c r="I22" i="18"/>
  <c r="E19" i="14"/>
  <c r="F18" i="14"/>
  <c r="G17" i="14"/>
  <c r="H17" i="14"/>
  <c r="C22" i="18" l="1"/>
  <c r="I23" i="18"/>
  <c r="E20" i="14"/>
  <c r="F19" i="14"/>
  <c r="H18" i="14"/>
  <c r="G18" i="14"/>
  <c r="C23" i="18" l="1"/>
  <c r="I24" i="18"/>
  <c r="E21" i="14"/>
  <c r="F20" i="14"/>
  <c r="H19" i="14"/>
  <c r="G19" i="14"/>
  <c r="C24" i="18" l="1"/>
  <c r="I25" i="18"/>
  <c r="E22" i="14"/>
  <c r="F21" i="14"/>
  <c r="H20" i="14"/>
  <c r="G20" i="14"/>
  <c r="C25" i="18" l="1"/>
  <c r="I26" i="18"/>
  <c r="H21" i="14"/>
  <c r="G21" i="14"/>
  <c r="E23" i="14"/>
  <c r="F22" i="14"/>
  <c r="C26" i="18" l="1"/>
  <c r="I27" i="18"/>
  <c r="H22" i="14"/>
  <c r="G22" i="14"/>
  <c r="E24" i="14"/>
  <c r="F23" i="14"/>
  <c r="C27" i="18" l="1"/>
  <c r="I28" i="18"/>
  <c r="G23" i="14"/>
  <c r="H23" i="14"/>
  <c r="E25" i="14"/>
  <c r="F24" i="14"/>
  <c r="C28" i="18" l="1"/>
  <c r="I29" i="18"/>
  <c r="H24" i="14"/>
  <c r="G24" i="14"/>
  <c r="E26" i="14"/>
  <c r="F25" i="14"/>
  <c r="C29" i="18" l="1"/>
  <c r="I30" i="18"/>
  <c r="G25" i="14"/>
  <c r="H25" i="14"/>
  <c r="E27" i="14"/>
  <c r="F26" i="14"/>
  <c r="C30" i="18" l="1"/>
  <c r="I31" i="18"/>
  <c r="G26" i="14"/>
  <c r="H26" i="14"/>
  <c r="E28" i="14"/>
  <c r="F27" i="14"/>
  <c r="C31" i="18" l="1"/>
  <c r="I32" i="18"/>
  <c r="E29" i="14"/>
  <c r="F28" i="14"/>
  <c r="G27" i="14"/>
  <c r="H27" i="14"/>
  <c r="C32" i="18" l="1"/>
  <c r="I33" i="18"/>
  <c r="E30" i="14"/>
  <c r="F29" i="14"/>
  <c r="G28" i="14"/>
  <c r="H28" i="14"/>
  <c r="C33" i="18" l="1"/>
  <c r="I34" i="18"/>
  <c r="E31" i="14"/>
  <c r="F30" i="14"/>
  <c r="G29" i="14"/>
  <c r="H29" i="14"/>
  <c r="C34" i="18" l="1"/>
  <c r="I35" i="18"/>
  <c r="E32" i="14"/>
  <c r="F31" i="14"/>
  <c r="G30" i="14"/>
  <c r="H30" i="14"/>
  <c r="C35" i="18" l="1"/>
  <c r="I36" i="18"/>
  <c r="H31" i="14"/>
  <c r="G31" i="14"/>
  <c r="E33" i="14"/>
  <c r="F32" i="14"/>
  <c r="C36" i="18" l="1"/>
  <c r="I37" i="18"/>
  <c r="H32" i="14"/>
  <c r="G32" i="14"/>
  <c r="E34" i="14"/>
  <c r="F33" i="14"/>
  <c r="C37" i="18" l="1"/>
  <c r="I38" i="18"/>
  <c r="H33" i="14"/>
  <c r="G33" i="14"/>
  <c r="E35" i="14"/>
  <c r="F34" i="14"/>
  <c r="C38" i="18" l="1"/>
  <c r="I39" i="18"/>
  <c r="E36" i="14"/>
  <c r="F35" i="14"/>
  <c r="H34" i="14"/>
  <c r="G34" i="14"/>
  <c r="C39" i="18" l="1"/>
  <c r="I40" i="18"/>
  <c r="G35" i="14"/>
  <c r="H35" i="14"/>
  <c r="E37" i="14"/>
  <c r="F36" i="14"/>
  <c r="C40" i="18" l="1"/>
  <c r="I41" i="18"/>
  <c r="G36" i="14"/>
  <c r="H36" i="14"/>
  <c r="E38" i="14"/>
  <c r="F37" i="14"/>
  <c r="C41" i="18" l="1"/>
  <c r="I42" i="18"/>
  <c r="G37" i="14"/>
  <c r="H37" i="14"/>
  <c r="E39" i="14"/>
  <c r="F38" i="14"/>
  <c r="C42" i="18" l="1"/>
  <c r="I43" i="18"/>
  <c r="H38" i="14"/>
  <c r="G38" i="14"/>
  <c r="E40" i="14"/>
  <c r="F39" i="14"/>
  <c r="C43" i="18" l="1"/>
  <c r="I44" i="18"/>
  <c r="G39" i="14"/>
  <c r="H39" i="14"/>
  <c r="E41" i="14"/>
  <c r="F40" i="14"/>
  <c r="C44" i="18" l="1"/>
  <c r="I45" i="18"/>
  <c r="G40" i="14"/>
  <c r="H40" i="14"/>
  <c r="E42" i="14"/>
  <c r="F41" i="14"/>
  <c r="C45" i="18" l="1"/>
  <c r="I46" i="18"/>
  <c r="G41" i="14"/>
  <c r="H41" i="14"/>
  <c r="E43" i="14"/>
  <c r="F42" i="14"/>
  <c r="C46" i="18" l="1"/>
  <c r="I47" i="18"/>
  <c r="E44" i="14"/>
  <c r="F43" i="14"/>
  <c r="G42" i="14"/>
  <c r="H42" i="14"/>
  <c r="C47" i="18" l="1"/>
  <c r="I48" i="18"/>
  <c r="H43" i="14"/>
  <c r="G43" i="14"/>
  <c r="E45" i="14"/>
  <c r="F44" i="14"/>
  <c r="C48" i="18" l="1"/>
  <c r="I49" i="18"/>
  <c r="G44" i="14"/>
  <c r="H44" i="14"/>
  <c r="E46" i="14"/>
  <c r="F45" i="14"/>
  <c r="C49" i="18" l="1"/>
  <c r="I50" i="18"/>
  <c r="E47" i="14"/>
  <c r="F46" i="14"/>
  <c r="H45" i="14"/>
  <c r="G45" i="14"/>
  <c r="C50" i="18" l="1"/>
  <c r="I51" i="18"/>
  <c r="G46" i="14"/>
  <c r="H46" i="14"/>
  <c r="E48" i="14"/>
  <c r="F47" i="14"/>
  <c r="C51" i="18" l="1"/>
  <c r="I52" i="18"/>
  <c r="H47" i="14"/>
  <c r="G47" i="14"/>
  <c r="E49" i="14"/>
  <c r="F48" i="14"/>
  <c r="C52" i="18" l="1"/>
  <c r="I53" i="18"/>
  <c r="H48" i="14"/>
  <c r="G48" i="14"/>
  <c r="E50" i="14"/>
  <c r="F49" i="14"/>
  <c r="C53" i="18" l="1"/>
  <c r="I54" i="18"/>
  <c r="E51" i="14"/>
  <c r="F50" i="14"/>
  <c r="G49" i="14"/>
  <c r="H49" i="14"/>
  <c r="C54" i="18" l="1"/>
  <c r="I55" i="18"/>
  <c r="G50" i="14"/>
  <c r="H50" i="14"/>
  <c r="E52" i="14"/>
  <c r="F51" i="14"/>
  <c r="C55" i="18" l="1"/>
  <c r="I56" i="18"/>
  <c r="G51" i="14"/>
  <c r="H51" i="14"/>
  <c r="E53" i="14"/>
  <c r="F52" i="14"/>
  <c r="C56" i="18" l="1"/>
  <c r="I57" i="18"/>
  <c r="G52" i="14"/>
  <c r="H52" i="14"/>
  <c r="E54" i="14"/>
  <c r="F53" i="14"/>
  <c r="C57" i="18" l="1"/>
  <c r="I58" i="18"/>
  <c r="H53" i="14"/>
  <c r="G53" i="14"/>
  <c r="E55" i="14"/>
  <c r="F54" i="14"/>
  <c r="C58" i="18" l="1"/>
  <c r="I59" i="18"/>
  <c r="G54" i="14"/>
  <c r="H54" i="14"/>
  <c r="E56" i="14"/>
  <c r="F55" i="14"/>
  <c r="C59" i="18" l="1"/>
  <c r="I60" i="18"/>
  <c r="E57" i="14"/>
  <c r="F56" i="14"/>
  <c r="H55" i="14"/>
  <c r="G55" i="14"/>
  <c r="C60" i="18" l="1"/>
  <c r="I61" i="18"/>
  <c r="H56" i="14"/>
  <c r="G56" i="14"/>
  <c r="E58" i="14"/>
  <c r="F57" i="14"/>
  <c r="C61" i="18" l="1"/>
  <c r="I62" i="18"/>
  <c r="E59" i="14"/>
  <c r="F58" i="14"/>
  <c r="G57" i="14"/>
  <c r="H57" i="14"/>
  <c r="C62" i="18" l="1"/>
  <c r="I63" i="18"/>
  <c r="G58" i="14"/>
  <c r="H58" i="14"/>
  <c r="E60" i="14"/>
  <c r="F59" i="14"/>
  <c r="C63" i="18" l="1"/>
  <c r="I64" i="18"/>
  <c r="E61" i="14"/>
  <c r="F60" i="14"/>
  <c r="G59" i="14"/>
  <c r="H59" i="14"/>
  <c r="C64" i="18" l="1"/>
  <c r="I65" i="18"/>
  <c r="H60" i="14"/>
  <c r="G60" i="14"/>
  <c r="E62" i="14"/>
  <c r="F61" i="14"/>
  <c r="C65" i="18" l="1"/>
  <c r="I66" i="18"/>
  <c r="E63" i="14"/>
  <c r="F62" i="14"/>
  <c r="G61" i="14"/>
  <c r="H61" i="14"/>
  <c r="C66" i="18" l="1"/>
  <c r="I67" i="18"/>
  <c r="G62" i="14"/>
  <c r="H62" i="14"/>
  <c r="E64" i="14"/>
  <c r="F63" i="14"/>
  <c r="C67" i="18" l="1"/>
  <c r="I68" i="18"/>
  <c r="G63" i="14"/>
  <c r="H63" i="14"/>
  <c r="E65" i="14"/>
  <c r="F64" i="14"/>
  <c r="C68" i="18" l="1"/>
  <c r="I69" i="18"/>
  <c r="H64" i="14"/>
  <c r="G64" i="14"/>
  <c r="E66" i="14"/>
  <c r="F65" i="14"/>
  <c r="C69" i="18" l="1"/>
  <c r="I70" i="18"/>
  <c r="E67" i="14"/>
  <c r="F66" i="14"/>
  <c r="G65" i="14"/>
  <c r="H65" i="14"/>
  <c r="C70" i="18" l="1"/>
  <c r="I71" i="18"/>
  <c r="H66" i="14"/>
  <c r="G66" i="14"/>
  <c r="E68" i="14"/>
  <c r="F67" i="14"/>
  <c r="C71" i="18" l="1"/>
  <c r="I72" i="18"/>
  <c r="G67" i="14"/>
  <c r="H67" i="14"/>
  <c r="E69" i="14"/>
  <c r="F68" i="14"/>
  <c r="C72" i="18" l="1"/>
  <c r="I73" i="18"/>
  <c r="G68" i="14"/>
  <c r="H68" i="14"/>
  <c r="E70" i="14"/>
  <c r="F69" i="14"/>
  <c r="C73" i="18" l="1"/>
  <c r="I74" i="18"/>
  <c r="G69" i="14"/>
  <c r="H69" i="14"/>
  <c r="E71" i="14"/>
  <c r="F70" i="14"/>
  <c r="C74" i="18" l="1"/>
  <c r="I75" i="18"/>
  <c r="E72" i="14"/>
  <c r="F71" i="14"/>
  <c r="G70" i="14"/>
  <c r="H70" i="14"/>
  <c r="C75" i="18" l="1"/>
  <c r="I76" i="18"/>
  <c r="H71" i="14"/>
  <c r="G71" i="14"/>
  <c r="E73" i="14"/>
  <c r="F72" i="14"/>
  <c r="C76" i="18" l="1"/>
  <c r="I77" i="18"/>
  <c r="G72" i="14"/>
  <c r="H72" i="14"/>
  <c r="E74" i="14"/>
  <c r="F73" i="14"/>
  <c r="C77" i="18" l="1"/>
  <c r="I78" i="18"/>
  <c r="H73" i="14"/>
  <c r="G73" i="14"/>
  <c r="E75" i="14"/>
  <c r="F74" i="14"/>
  <c r="C78" i="18" l="1"/>
  <c r="I79" i="18"/>
  <c r="G74" i="14"/>
  <c r="H74" i="14"/>
  <c r="E76" i="14"/>
  <c r="F75" i="14"/>
  <c r="C79" i="18" l="1"/>
  <c r="I80" i="18"/>
  <c r="E77" i="14"/>
  <c r="F76" i="14"/>
  <c r="H75" i="14"/>
  <c r="G75" i="14"/>
  <c r="C80" i="18" l="1"/>
  <c r="I81" i="18"/>
  <c r="G76" i="14"/>
  <c r="H76" i="14"/>
  <c r="E78" i="14"/>
  <c r="F77" i="14"/>
  <c r="C81" i="18" l="1"/>
  <c r="I82" i="18"/>
  <c r="H77" i="14"/>
  <c r="G77" i="14"/>
  <c r="E79" i="14"/>
  <c r="F78" i="14"/>
  <c r="C82" i="18" l="1"/>
  <c r="I83" i="18"/>
  <c r="E80" i="14"/>
  <c r="F79" i="14"/>
  <c r="H78" i="14"/>
  <c r="G78" i="14"/>
  <c r="C83" i="18" l="1"/>
  <c r="I84" i="18"/>
  <c r="G79" i="14"/>
  <c r="H79" i="14"/>
  <c r="E81" i="14"/>
  <c r="F80" i="14"/>
  <c r="C84" i="18" l="1"/>
  <c r="I85" i="18"/>
  <c r="G80" i="14"/>
  <c r="H80" i="14"/>
  <c r="E82" i="14"/>
  <c r="F81" i="14"/>
  <c r="C85" i="18" l="1"/>
  <c r="I86" i="18"/>
  <c r="G81" i="14"/>
  <c r="H81" i="14"/>
  <c r="E83" i="14"/>
  <c r="F82" i="14"/>
  <c r="C86" i="18" l="1"/>
  <c r="I87" i="18"/>
  <c r="H82" i="14"/>
  <c r="G82" i="14"/>
  <c r="E84" i="14"/>
  <c r="F83" i="14"/>
  <c r="C87" i="18" l="1"/>
  <c r="I88" i="18"/>
  <c r="G83" i="14"/>
  <c r="H83" i="14"/>
  <c r="E85" i="14"/>
  <c r="F84" i="14"/>
  <c r="C88" i="18" l="1"/>
  <c r="I89" i="18"/>
  <c r="G84" i="14"/>
  <c r="H84" i="14"/>
  <c r="E86" i="14"/>
  <c r="F85" i="14"/>
  <c r="C89" i="18" l="1"/>
  <c r="I90" i="18"/>
  <c r="G85" i="14"/>
  <c r="H85" i="14"/>
  <c r="E87" i="14"/>
  <c r="F86" i="14"/>
  <c r="C90" i="18" l="1"/>
  <c r="I91" i="18"/>
  <c r="G86" i="14"/>
  <c r="H86" i="14"/>
  <c r="E88" i="14"/>
  <c r="F87" i="14"/>
  <c r="C91" i="18" l="1"/>
  <c r="I92" i="18"/>
  <c r="H87" i="14"/>
  <c r="G87" i="14"/>
  <c r="E89" i="14"/>
  <c r="F88" i="14"/>
  <c r="C92" i="18" l="1"/>
  <c r="I93" i="18"/>
  <c r="H88" i="14"/>
  <c r="G88" i="14"/>
  <c r="E90" i="14"/>
  <c r="F89" i="14"/>
  <c r="C93" i="18" l="1"/>
  <c r="I94" i="18"/>
  <c r="G89" i="14"/>
  <c r="H89" i="14"/>
  <c r="E91" i="14"/>
  <c r="F90" i="14"/>
  <c r="C94" i="18" l="1"/>
  <c r="I95" i="18"/>
  <c r="G90" i="14"/>
  <c r="H90" i="14"/>
  <c r="E92" i="14"/>
  <c r="F91" i="14"/>
  <c r="C95" i="18" l="1"/>
  <c r="I96" i="18"/>
  <c r="H91" i="14"/>
  <c r="G91" i="14"/>
  <c r="E93" i="14"/>
  <c r="F92" i="14"/>
  <c r="C96" i="18" l="1"/>
  <c r="I97" i="18"/>
  <c r="H92" i="14"/>
  <c r="G92" i="14"/>
  <c r="E94" i="14"/>
  <c r="F93" i="14"/>
  <c r="C97" i="18" l="1"/>
  <c r="I98" i="18"/>
  <c r="G93" i="14"/>
  <c r="H93" i="14"/>
  <c r="E95" i="14"/>
  <c r="F94" i="14"/>
  <c r="C98" i="18" l="1"/>
  <c r="I99" i="18"/>
  <c r="G94" i="14"/>
  <c r="H94" i="14"/>
  <c r="E96" i="14"/>
  <c r="F95" i="14"/>
  <c r="C99" i="18" l="1"/>
  <c r="I100" i="18"/>
  <c r="H95" i="14"/>
  <c r="G95" i="14"/>
  <c r="E97" i="14"/>
  <c r="F96" i="14"/>
  <c r="C100" i="18" l="1"/>
  <c r="I101" i="18"/>
  <c r="H96" i="14"/>
  <c r="G96" i="14"/>
  <c r="E98" i="14"/>
  <c r="F97" i="14"/>
  <c r="I102" i="18" l="1"/>
  <c r="C101" i="18"/>
  <c r="G97" i="14"/>
  <c r="H97" i="14"/>
  <c r="E99" i="14"/>
  <c r="F98" i="14"/>
  <c r="K2" i="18" l="1"/>
  <c r="K5" i="18"/>
  <c r="K13" i="18"/>
  <c r="K21" i="18"/>
  <c r="K29" i="18"/>
  <c r="K37" i="18"/>
  <c r="K45" i="18"/>
  <c r="K53" i="18"/>
  <c r="K61" i="18"/>
  <c r="K69" i="18"/>
  <c r="K77" i="18"/>
  <c r="K85" i="18"/>
  <c r="K93" i="18"/>
  <c r="K101" i="18"/>
  <c r="K7" i="18"/>
  <c r="K23" i="18"/>
  <c r="K31" i="18"/>
  <c r="K39" i="18"/>
  <c r="K47" i="18"/>
  <c r="K55" i="18"/>
  <c r="K71" i="18"/>
  <c r="K87" i="18"/>
  <c r="K8" i="18"/>
  <c r="K24" i="18"/>
  <c r="K32" i="18"/>
  <c r="K40" i="18"/>
  <c r="K48" i="18"/>
  <c r="K64" i="18"/>
  <c r="K72" i="18"/>
  <c r="K88" i="18"/>
  <c r="K6" i="18"/>
  <c r="K14" i="18"/>
  <c r="K22" i="18"/>
  <c r="K30" i="18"/>
  <c r="K38" i="18"/>
  <c r="K46" i="18"/>
  <c r="K54" i="18"/>
  <c r="K62" i="18"/>
  <c r="K70" i="18"/>
  <c r="K78" i="18"/>
  <c r="K86" i="18"/>
  <c r="K94" i="18"/>
  <c r="K102" i="18"/>
  <c r="K15" i="18"/>
  <c r="K63" i="18"/>
  <c r="K79" i="18"/>
  <c r="K95" i="18"/>
  <c r="K16" i="18"/>
  <c r="K56" i="18"/>
  <c r="K80" i="18"/>
  <c r="K96" i="18"/>
  <c r="K67" i="18"/>
  <c r="K91" i="18"/>
  <c r="K4" i="18"/>
  <c r="K28" i="18"/>
  <c r="K52" i="18"/>
  <c r="K76" i="18"/>
  <c r="K100" i="18"/>
  <c r="K9" i="18"/>
  <c r="K17" i="18"/>
  <c r="K25" i="18"/>
  <c r="K33" i="18"/>
  <c r="K41" i="18"/>
  <c r="K49" i="18"/>
  <c r="K57" i="18"/>
  <c r="K65" i="18"/>
  <c r="K73" i="18"/>
  <c r="K81" i="18"/>
  <c r="K89" i="18"/>
  <c r="K97" i="18"/>
  <c r="K10" i="18"/>
  <c r="K18" i="18"/>
  <c r="K26" i="18"/>
  <c r="K34" i="18"/>
  <c r="K42" i="18"/>
  <c r="K50" i="18"/>
  <c r="K58" i="18"/>
  <c r="K66" i="18"/>
  <c r="K74" i="18"/>
  <c r="K82" i="18"/>
  <c r="K90" i="18"/>
  <c r="K98" i="18"/>
  <c r="K3" i="18"/>
  <c r="K11" i="18"/>
  <c r="K19" i="18"/>
  <c r="K27" i="18"/>
  <c r="K35" i="18"/>
  <c r="K43" i="18"/>
  <c r="K51" i="18"/>
  <c r="K59" i="18"/>
  <c r="K75" i="18"/>
  <c r="K83" i="18"/>
  <c r="K99" i="18"/>
  <c r="K12" i="18"/>
  <c r="K20" i="18"/>
  <c r="K36" i="18"/>
  <c r="K44" i="18"/>
  <c r="K60" i="18"/>
  <c r="K68" i="18"/>
  <c r="K84" i="18"/>
  <c r="K92" i="18"/>
  <c r="C102" i="18"/>
  <c r="F99" i="14"/>
  <c r="G99" i="14" s="1"/>
  <c r="E100" i="14"/>
  <c r="F100" i="14" s="1"/>
  <c r="G98" i="14"/>
  <c r="H98" i="14"/>
  <c r="AB9" i="1" l="1"/>
  <c r="B5" i="15" s="1"/>
  <c r="B6" i="15" s="1"/>
  <c r="B7" i="15" s="1"/>
  <c r="H99" i="14"/>
  <c r="H100" i="14"/>
  <c r="G100" i="14"/>
  <c r="D48" i="18" a="1"/>
  <c r="D100" i="18" a="1"/>
  <c r="D91" i="18" a="1"/>
  <c r="D16" i="18" a="1"/>
  <c r="D92" i="18" a="1"/>
  <c r="D47" i="18" a="1"/>
  <c r="D49" i="18" a="1"/>
  <c r="D26" i="18" a="1"/>
  <c r="D7" i="18" a="1"/>
  <c r="D89" i="18" a="1"/>
  <c r="D31" i="18" a="1"/>
  <c r="D79" i="18" a="1"/>
  <c r="D85" i="18" a="1"/>
  <c r="D76" i="18" a="1"/>
  <c r="D40" i="18" a="1"/>
  <c r="D36" i="18" a="1"/>
  <c r="D68" i="18" a="1"/>
  <c r="D101" i="18" a="1"/>
  <c r="D63" i="18" a="1"/>
  <c r="D59" i="18" a="1"/>
  <c r="D14" i="18" a="1"/>
  <c r="D61" i="18" a="1"/>
  <c r="D23" i="18" a="1"/>
  <c r="D62" i="18" a="1"/>
  <c r="D38" i="18" a="1"/>
  <c r="D42" i="18" a="1"/>
  <c r="D27" i="18" a="1"/>
  <c r="D24" i="18" a="1"/>
  <c r="D98" i="18" a="1"/>
  <c r="D58" i="18" a="1"/>
  <c r="D18" i="18" a="1"/>
  <c r="D51" i="18" a="1"/>
  <c r="D29" i="18" a="1"/>
  <c r="D86" i="18" a="1"/>
  <c r="D3" i="18" a="1"/>
  <c r="L35" i="1" a="1"/>
  <c r="D71" i="18" a="1"/>
  <c r="D84" i="18" a="1"/>
  <c r="D72" i="18" a="1"/>
  <c r="D60" i="18" a="1"/>
  <c r="AB12" i="1" a="1"/>
  <c r="D13" i="18" a="1"/>
  <c r="D28" i="18" a="1"/>
  <c r="D77" i="18" a="1"/>
  <c r="D35" i="18" a="1"/>
  <c r="D9" i="18" a="1"/>
  <c r="D25" i="18" a="1"/>
  <c r="D39" i="18" a="1"/>
  <c r="D69" i="18" a="1"/>
  <c r="D55" i="18" a="1"/>
  <c r="D21" i="18" a="1"/>
  <c r="D43" i="18" a="1"/>
  <c r="D32" i="18" a="1"/>
  <c r="D94" i="18" a="1"/>
  <c r="D5" i="18" a="1"/>
  <c r="D11" i="18" a="1"/>
  <c r="D88" i="18" a="1"/>
  <c r="D33" i="18" a="1"/>
  <c r="D102" i="18" a="1"/>
  <c r="D81" i="18" a="1"/>
  <c r="D45" i="18" a="1"/>
  <c r="D64" i="18" a="1"/>
  <c r="D87" i="18" a="1"/>
  <c r="D52" i="18" a="1"/>
  <c r="D93" i="18" a="1"/>
  <c r="D99" i="18" a="1"/>
  <c r="L41" i="1" a="1"/>
  <c r="D2" i="18" a="1"/>
  <c r="D56" i="18" a="1"/>
  <c r="L37" i="1" a="1"/>
  <c r="D80" i="18" a="1"/>
  <c r="L39" i="1" a="1"/>
  <c r="D19" i="18" a="1"/>
  <c r="D78" i="18" a="1"/>
  <c r="D57" i="18" a="1"/>
  <c r="D10" i="18" a="1"/>
  <c r="D95" i="18" a="1"/>
  <c r="D17" i="18" a="1"/>
  <c r="D53" i="18" a="1"/>
  <c r="D15" i="18" a="1"/>
  <c r="D67" i="18" a="1"/>
  <c r="D97" i="18" a="1"/>
  <c r="D44" i="18" a="1"/>
  <c r="D66" i="18" a="1"/>
  <c r="D34" i="18" a="1"/>
  <c r="D12" i="18" a="1"/>
  <c r="D70" i="18" a="1"/>
  <c r="D54" i="18" a="1"/>
  <c r="D4" i="18" a="1"/>
  <c r="D82" i="18" a="1"/>
  <c r="D8" i="18" a="1"/>
  <c r="D6" i="18" a="1"/>
  <c r="D22" i="18" a="1"/>
  <c r="D30" i="18" a="1"/>
  <c r="L33" i="1" a="1"/>
  <c r="D37" i="18" a="1"/>
  <c r="D65" i="18" a="1"/>
  <c r="D46" i="18" a="1"/>
  <c r="D41" i="18" a="1"/>
  <c r="D50" i="18" a="1"/>
  <c r="D73" i="18" a="1"/>
  <c r="D83" i="18" a="1"/>
  <c r="D75" i="18" a="1"/>
  <c r="D96" i="18" a="1"/>
  <c r="D20" i="18" a="1"/>
  <c r="D90" i="18" a="1"/>
  <c r="D74" i="18" a="1"/>
  <c r="J63" i="18" a="1"/>
  <c r="J77" i="18" a="1"/>
  <c r="J70" i="18" a="1"/>
  <c r="J9" i="18" a="1"/>
  <c r="J28" i="18" a="1"/>
  <c r="J37" i="18" a="1"/>
  <c r="J38" i="18" a="1"/>
  <c r="J33" i="18" a="1"/>
  <c r="J61" i="18" a="1"/>
  <c r="J3" i="18" a="1"/>
  <c r="J72" i="18" a="1"/>
  <c r="J23" i="18" a="1"/>
  <c r="J34" i="18" a="1"/>
  <c r="J58" i="18" a="1"/>
  <c r="J22" i="18" a="1"/>
  <c r="J73" i="18" a="1"/>
  <c r="J18" i="18" a="1"/>
  <c r="J32" i="18" a="1"/>
  <c r="J47" i="18" a="1"/>
  <c r="J2" i="18" a="1"/>
  <c r="J74" i="18" a="1"/>
  <c r="J76" i="18" a="1"/>
  <c r="J30" i="18" a="1"/>
  <c r="J68" i="18" a="1"/>
  <c r="J50" i="18" a="1"/>
  <c r="J51" i="18" a="1"/>
  <c r="J14" i="18" a="1"/>
  <c r="J43" i="18" a="1"/>
  <c r="J8" i="18" a="1"/>
  <c r="J82" i="18" a="1"/>
  <c r="J102" i="18" a="1"/>
  <c r="J35" i="18" a="1"/>
  <c r="J64" i="18" a="1"/>
  <c r="J20" i="18" a="1"/>
  <c r="J75" i="18" a="1"/>
  <c r="J42" i="18" a="1"/>
  <c r="J67" i="18" a="1"/>
  <c r="J39" i="18" a="1"/>
  <c r="J71" i="18" a="1"/>
  <c r="J15" i="18" a="1"/>
  <c r="J65" i="18" a="1"/>
  <c r="J16" i="18" a="1"/>
  <c r="J7" i="18" a="1"/>
  <c r="J97" i="18" a="1"/>
  <c r="J5" i="18" a="1"/>
  <c r="J27" i="18" a="1"/>
  <c r="J45" i="18" a="1"/>
  <c r="J96" i="18" a="1"/>
  <c r="J84" i="18" a="1"/>
  <c r="J44" i="18" a="1"/>
  <c r="J86" i="18" a="1"/>
  <c r="J66" i="18" a="1"/>
  <c r="J56" i="18" a="1"/>
  <c r="J87" i="18" a="1"/>
  <c r="J95" i="18" a="1"/>
  <c r="J79" i="18" a="1"/>
  <c r="J62" i="18" a="1"/>
  <c r="J19" i="18" a="1"/>
  <c r="J6" i="18" a="1"/>
  <c r="J98" i="18" a="1"/>
  <c r="J59" i="18" a="1"/>
  <c r="J99" i="18" a="1"/>
  <c r="J94" i="18" a="1"/>
  <c r="J85" i="18" a="1"/>
  <c r="J101" i="18" a="1"/>
  <c r="J60" i="18" a="1"/>
  <c r="J31" i="18" a="1"/>
  <c r="J13" i="18" a="1"/>
  <c r="J53" i="18" a="1"/>
  <c r="J69" i="18" a="1"/>
  <c r="J92" i="18" a="1"/>
  <c r="J41" i="18" a="1"/>
  <c r="J89" i="18" a="1"/>
  <c r="J80" i="18" a="1"/>
  <c r="J4" i="18" a="1"/>
  <c r="J21" i="18" a="1"/>
  <c r="J12" i="18" a="1"/>
  <c r="J40" i="18" a="1"/>
  <c r="J52" i="18" a="1"/>
  <c r="J93" i="18" a="1"/>
  <c r="J48" i="18" a="1"/>
  <c r="J36" i="18" a="1"/>
  <c r="J57" i="18" a="1"/>
  <c r="J46" i="18" a="1"/>
  <c r="J11" i="18" a="1"/>
  <c r="J17" i="18" a="1"/>
  <c r="J83" i="18" a="1"/>
  <c r="J26" i="18" a="1"/>
  <c r="J49" i="18" a="1"/>
  <c r="J25" i="18" a="1"/>
  <c r="J54" i="18" a="1"/>
  <c r="J91" i="18" a="1"/>
  <c r="J29" i="18" a="1"/>
  <c r="J10" i="18" a="1"/>
  <c r="J81" i="18" a="1"/>
  <c r="J78" i="18" a="1"/>
  <c r="J90" i="18" a="1"/>
  <c r="J100" i="18" a="1"/>
  <c r="J24" i="18" a="1"/>
  <c r="J88" i="18" a="1"/>
  <c r="J55" i="18" a="1"/>
  <c r="D96" i="18" l="1"/>
  <c r="D88" i="18"/>
  <c r="D80" i="18"/>
  <c r="D72" i="18"/>
  <c r="D64" i="18"/>
  <c r="D56" i="18"/>
  <c r="D48" i="18"/>
  <c r="D40" i="18"/>
  <c r="D32" i="18"/>
  <c r="D24" i="18"/>
  <c r="D16" i="18"/>
  <c r="AB12" i="1"/>
  <c r="D10" i="18"/>
  <c r="D95" i="18"/>
  <c r="D87" i="18"/>
  <c r="D79" i="18"/>
  <c r="D71" i="18"/>
  <c r="D63" i="18"/>
  <c r="D55" i="18"/>
  <c r="D47" i="18"/>
  <c r="D39" i="18"/>
  <c r="D31" i="18"/>
  <c r="D23" i="18"/>
  <c r="D15" i="18"/>
  <c r="D7" i="18"/>
  <c r="D74" i="18"/>
  <c r="D42" i="18"/>
  <c r="D94" i="18"/>
  <c r="D86" i="18"/>
  <c r="D78" i="18"/>
  <c r="D70" i="18"/>
  <c r="D62" i="18"/>
  <c r="D54" i="18"/>
  <c r="D46" i="18"/>
  <c r="D38" i="18"/>
  <c r="D30" i="18"/>
  <c r="D22" i="18"/>
  <c r="D14" i="18"/>
  <c r="D6" i="18"/>
  <c r="L35" i="1"/>
  <c r="D90" i="18"/>
  <c r="D26" i="18"/>
  <c r="D101" i="18"/>
  <c r="D93" i="18"/>
  <c r="D85" i="18"/>
  <c r="D77" i="18"/>
  <c r="D69" i="18"/>
  <c r="D61" i="18"/>
  <c r="D53" i="18"/>
  <c r="D45" i="18"/>
  <c r="D37" i="18"/>
  <c r="D29" i="18"/>
  <c r="D21" i="18"/>
  <c r="D13" i="18"/>
  <c r="D5" i="18"/>
  <c r="L37" i="1"/>
  <c r="D66" i="18"/>
  <c r="D34" i="18"/>
  <c r="D100" i="18"/>
  <c r="D92" i="18"/>
  <c r="D84" i="18"/>
  <c r="D76" i="18"/>
  <c r="D68" i="18"/>
  <c r="D60" i="18"/>
  <c r="D52" i="18"/>
  <c r="D44" i="18"/>
  <c r="D36" i="18"/>
  <c r="D28" i="18"/>
  <c r="D20" i="18"/>
  <c r="D12" i="18"/>
  <c r="D4" i="18"/>
  <c r="L39" i="1"/>
  <c r="D82" i="18"/>
  <c r="D2" i="18"/>
  <c r="D99" i="18"/>
  <c r="D91" i="18"/>
  <c r="D83" i="18"/>
  <c r="D75" i="18"/>
  <c r="D67" i="18"/>
  <c r="D59" i="18"/>
  <c r="D51" i="18"/>
  <c r="D43" i="18"/>
  <c r="D35" i="18"/>
  <c r="D27" i="18"/>
  <c r="D19" i="18"/>
  <c r="D11" i="18"/>
  <c r="D3" i="18"/>
  <c r="L41" i="1"/>
  <c r="D58" i="18"/>
  <c r="D18" i="18"/>
  <c r="D97" i="18"/>
  <c r="D89" i="18"/>
  <c r="D81" i="18"/>
  <c r="D73" i="18"/>
  <c r="D65" i="18"/>
  <c r="D57" i="18"/>
  <c r="D49" i="18"/>
  <c r="D41" i="18"/>
  <c r="D33" i="18"/>
  <c r="D25" i="18"/>
  <c r="D17" i="18"/>
  <c r="D9" i="18"/>
  <c r="D102" i="18"/>
  <c r="D8" i="18"/>
  <c r="L33" i="1"/>
  <c r="D98" i="18"/>
  <c r="D50" i="18"/>
  <c r="J95" i="18"/>
  <c r="J99" i="18"/>
  <c r="J2" i="18"/>
  <c r="J98" i="18"/>
  <c r="J94" i="18"/>
  <c r="J90" i="18"/>
  <c r="J86" i="18"/>
  <c r="J82" i="18"/>
  <c r="J78" i="18"/>
  <c r="J74" i="18"/>
  <c r="J70" i="18"/>
  <c r="J66" i="18"/>
  <c r="J62" i="18"/>
  <c r="J58" i="18"/>
  <c r="J54" i="18"/>
  <c r="J50" i="18"/>
  <c r="J46" i="18"/>
  <c r="J42" i="18"/>
  <c r="J38" i="18"/>
  <c r="J34" i="18"/>
  <c r="J30" i="18"/>
  <c r="J26" i="18"/>
  <c r="J22" i="18"/>
  <c r="J18" i="18"/>
  <c r="J14" i="18"/>
  <c r="J10" i="18"/>
  <c r="J6" i="18"/>
  <c r="J20" i="18"/>
  <c r="J8" i="18"/>
  <c r="J4" i="18"/>
  <c r="J83" i="18"/>
  <c r="J59" i="18"/>
  <c r="J47" i="18"/>
  <c r="J39" i="18"/>
  <c r="J27" i="18"/>
  <c r="J19" i="18"/>
  <c r="J3" i="18"/>
  <c r="J102" i="18"/>
  <c r="J97" i="18"/>
  <c r="J93" i="18"/>
  <c r="J89" i="18"/>
  <c r="J85" i="18"/>
  <c r="J81" i="18"/>
  <c r="J77" i="18"/>
  <c r="J73" i="18"/>
  <c r="J69" i="18"/>
  <c r="J65" i="18"/>
  <c r="J61" i="18"/>
  <c r="J57" i="18"/>
  <c r="J53" i="18"/>
  <c r="J49" i="18"/>
  <c r="J45" i="18"/>
  <c r="J41" i="18"/>
  <c r="J37" i="18"/>
  <c r="J33" i="18"/>
  <c r="J29" i="18"/>
  <c r="J25" i="18"/>
  <c r="J21" i="18"/>
  <c r="J17" i="18"/>
  <c r="J13" i="18"/>
  <c r="J9" i="18"/>
  <c r="J5" i="18"/>
  <c r="J92" i="18"/>
  <c r="J88" i="18"/>
  <c r="J84" i="18"/>
  <c r="J80" i="18"/>
  <c r="J76" i="18"/>
  <c r="J72" i="18"/>
  <c r="J68" i="18"/>
  <c r="J64" i="18"/>
  <c r="J60" i="18"/>
  <c r="J56" i="18"/>
  <c r="J52" i="18"/>
  <c r="J48" i="18"/>
  <c r="J44" i="18"/>
  <c r="J40" i="18"/>
  <c r="J36" i="18"/>
  <c r="J32" i="18"/>
  <c r="J28" i="18"/>
  <c r="J24" i="18"/>
  <c r="J16" i="18"/>
  <c r="J12" i="18"/>
  <c r="J91" i="18"/>
  <c r="J79" i="18"/>
  <c r="J75" i="18"/>
  <c r="J71" i="18"/>
  <c r="J67" i="18"/>
  <c r="J63" i="18"/>
  <c r="J55" i="18"/>
  <c r="J51" i="18"/>
  <c r="J43" i="18"/>
  <c r="J35" i="18"/>
  <c r="J23" i="18"/>
  <c r="J15" i="18"/>
  <c r="J7" i="18"/>
  <c r="J101" i="18"/>
  <c r="J87" i="18"/>
  <c r="J31" i="18"/>
  <c r="J11" i="18"/>
  <c r="J96" i="18"/>
  <c r="J100" i="18"/>
  <c r="W33" i="1"/>
  <c r="AE36" i="1"/>
  <c r="E18" i="15"/>
  <c r="F18" i="15" s="1"/>
  <c r="G18" i="15" s="1"/>
  <c r="E153" i="15"/>
  <c r="F153" i="15" s="1"/>
  <c r="G153" i="15" s="1"/>
  <c r="E86" i="15"/>
  <c r="F86" i="15" s="1"/>
  <c r="G86" i="15" s="1"/>
  <c r="E108" i="15"/>
  <c r="F108" i="15" s="1"/>
  <c r="G108" i="15" s="1"/>
  <c r="E74" i="15"/>
  <c r="F74" i="15" s="1"/>
  <c r="G74" i="15" s="1"/>
  <c r="E15" i="15"/>
  <c r="F15" i="15" s="1"/>
  <c r="G15" i="15" s="1"/>
  <c r="E29" i="15"/>
  <c r="F29" i="15" s="1"/>
  <c r="G29" i="15" s="1"/>
  <c r="E130" i="15"/>
  <c r="F130" i="15" s="1"/>
  <c r="G130" i="15" s="1"/>
  <c r="E191" i="15"/>
  <c r="F191" i="15" s="1"/>
  <c r="G191" i="15" s="1"/>
  <c r="E85" i="15"/>
  <c r="F85" i="15" s="1"/>
  <c r="G85" i="15" s="1"/>
  <c r="E186" i="15"/>
  <c r="F186" i="15" s="1"/>
  <c r="G186" i="15" s="1"/>
  <c r="E56" i="15"/>
  <c r="F56" i="15" s="1"/>
  <c r="G56" i="15" s="1"/>
  <c r="E141" i="15"/>
  <c r="F141" i="15" s="1"/>
  <c r="G141" i="15" s="1"/>
  <c r="E178" i="15"/>
  <c r="F178" i="15" s="1"/>
  <c r="G178" i="15" s="1"/>
  <c r="E48" i="15"/>
  <c r="F48" i="15" s="1"/>
  <c r="G48" i="15" s="1"/>
  <c r="E133" i="15"/>
  <c r="F133" i="15" s="1"/>
  <c r="G133" i="15" s="1"/>
  <c r="E75" i="15"/>
  <c r="F75" i="15" s="1"/>
  <c r="G75" i="15" s="1"/>
  <c r="E120" i="15"/>
  <c r="F120" i="15" s="1"/>
  <c r="G120" i="15" s="1"/>
  <c r="E189" i="15"/>
  <c r="F189" i="15" s="1"/>
  <c r="G189" i="15" s="1"/>
  <c r="E179" i="15"/>
  <c r="F179" i="15" s="1"/>
  <c r="G179" i="15" s="1"/>
  <c r="E176" i="15"/>
  <c r="F176" i="15" s="1"/>
  <c r="G176" i="15" s="1"/>
  <c r="E55" i="15"/>
  <c r="F55" i="15" s="1"/>
  <c r="G55" i="15" s="1"/>
  <c r="E67" i="15"/>
  <c r="F67" i="15" s="1"/>
  <c r="G67" i="15" s="1"/>
  <c r="E33" i="15"/>
  <c r="F33" i="15" s="1"/>
  <c r="G33" i="15" s="1"/>
  <c r="E151" i="15"/>
  <c r="F151" i="15" s="1"/>
  <c r="G151" i="15" s="1"/>
  <c r="E187" i="15"/>
  <c r="F187" i="15" s="1"/>
  <c r="G187" i="15" s="1"/>
  <c r="E64" i="15"/>
  <c r="F64" i="15" s="1"/>
  <c r="G64" i="15" s="1"/>
  <c r="E107" i="15"/>
  <c r="F107" i="15" s="1"/>
  <c r="G107" i="15" s="1"/>
  <c r="E197" i="15"/>
  <c r="F197" i="15" s="1"/>
  <c r="G197" i="15" s="1"/>
  <c r="E159" i="15"/>
  <c r="F159" i="15" s="1"/>
  <c r="G159" i="15" s="1"/>
  <c r="E11" i="15"/>
  <c r="F11" i="15" s="1"/>
  <c r="G11" i="15" s="1"/>
  <c r="E89" i="15"/>
  <c r="F89" i="15" s="1"/>
  <c r="G89" i="15" s="1"/>
  <c r="E22" i="15"/>
  <c r="F22" i="15" s="1"/>
  <c r="G22" i="15" s="1"/>
  <c r="E44" i="15"/>
  <c r="F44" i="15" s="1"/>
  <c r="G44" i="15" s="1"/>
  <c r="E10" i="15"/>
  <c r="F10" i="15" s="1"/>
  <c r="G10" i="15" s="1"/>
  <c r="E142" i="15"/>
  <c r="F142" i="15" s="1"/>
  <c r="G142" i="15" s="1"/>
  <c r="E164" i="15"/>
  <c r="F164" i="15" s="1"/>
  <c r="G164" i="15" s="1"/>
  <c r="E66" i="15"/>
  <c r="F66" i="15" s="1"/>
  <c r="G66" i="15" s="1"/>
  <c r="E198" i="15"/>
  <c r="F198" i="15" s="1"/>
  <c r="G198" i="15" s="1"/>
  <c r="E21" i="15"/>
  <c r="F21" i="15" s="1"/>
  <c r="G21" i="15" s="1"/>
  <c r="E122" i="15"/>
  <c r="F122" i="15" s="1"/>
  <c r="G122" i="15" s="1"/>
  <c r="E167" i="15"/>
  <c r="F167" i="15" s="1"/>
  <c r="G167" i="15" s="1"/>
  <c r="E77" i="15"/>
  <c r="F77" i="15" s="1"/>
  <c r="G77" i="15" s="1"/>
  <c r="E114" i="15"/>
  <c r="F114" i="15" s="1"/>
  <c r="G114" i="15" s="1"/>
  <c r="E143" i="15"/>
  <c r="F143" i="15" s="1"/>
  <c r="G143" i="15" s="1"/>
  <c r="E69" i="15"/>
  <c r="F69" i="15" s="1"/>
  <c r="G69" i="15" s="1"/>
  <c r="E170" i="15"/>
  <c r="F170" i="15" s="1"/>
  <c r="G170" i="15" s="1"/>
  <c r="E40" i="15"/>
  <c r="F40" i="15" s="1"/>
  <c r="G40" i="15" s="1"/>
  <c r="E125" i="15"/>
  <c r="F125" i="15" s="1"/>
  <c r="G125" i="15" s="1"/>
  <c r="E59" i="15"/>
  <c r="F59" i="15" s="1"/>
  <c r="G59" i="15" s="1"/>
  <c r="E96" i="15"/>
  <c r="F96" i="15" s="1"/>
  <c r="G96" i="15" s="1"/>
  <c r="E181" i="15"/>
  <c r="F181" i="15" s="1"/>
  <c r="G181" i="15" s="1"/>
  <c r="E163" i="15"/>
  <c r="F163" i="15" s="1"/>
  <c r="G163" i="15" s="1"/>
  <c r="E168" i="15"/>
  <c r="F168" i="15" s="1"/>
  <c r="G168" i="15" s="1"/>
  <c r="E47" i="15"/>
  <c r="F47" i="15" s="1"/>
  <c r="G47" i="15" s="1"/>
  <c r="E51" i="15"/>
  <c r="F51" i="15" s="1"/>
  <c r="G51" i="15" s="1"/>
  <c r="E93" i="15"/>
  <c r="F93" i="15" s="1"/>
  <c r="G93" i="15" s="1"/>
  <c r="E7" i="15"/>
  <c r="F7" i="15" s="1"/>
  <c r="G7" i="15" s="1"/>
  <c r="E63" i="15"/>
  <c r="F63" i="15" s="1"/>
  <c r="G63" i="15" s="1"/>
  <c r="E30" i="15"/>
  <c r="F30" i="15" s="1"/>
  <c r="G30" i="15" s="1"/>
  <c r="E104" i="15"/>
  <c r="F104" i="15" s="1"/>
  <c r="G104" i="15" s="1"/>
  <c r="E25" i="15"/>
  <c r="F25" i="15" s="1"/>
  <c r="G25" i="15" s="1"/>
  <c r="E135" i="15"/>
  <c r="F135" i="15" s="1"/>
  <c r="G135" i="15" s="1"/>
  <c r="E171" i="15"/>
  <c r="F171" i="15" s="1"/>
  <c r="G171" i="15" s="1"/>
  <c r="E145" i="15"/>
  <c r="F145" i="15" s="1"/>
  <c r="G145" i="15" s="1"/>
  <c r="E78" i="15"/>
  <c r="F78" i="15" s="1"/>
  <c r="G78" i="15" s="1"/>
  <c r="E100" i="15"/>
  <c r="F100" i="15" s="1"/>
  <c r="G100" i="15" s="1"/>
  <c r="E201" i="15"/>
  <c r="F201" i="15" s="1"/>
  <c r="G201" i="15" s="1"/>
  <c r="E134" i="15"/>
  <c r="F134" i="15" s="1"/>
  <c r="G134" i="15" s="1"/>
  <c r="E156" i="15"/>
  <c r="F156" i="15" s="1"/>
  <c r="G156" i="15" s="1"/>
  <c r="E58" i="15"/>
  <c r="F58" i="15" s="1"/>
  <c r="G58" i="15" s="1"/>
  <c r="E190" i="15"/>
  <c r="F190" i="15" s="1"/>
  <c r="G190" i="15" s="1"/>
  <c r="E13" i="15"/>
  <c r="F13" i="15" s="1"/>
  <c r="G13" i="15" s="1"/>
  <c r="E50" i="15"/>
  <c r="F50" i="15" s="1"/>
  <c r="G50" i="15" s="1"/>
  <c r="E182" i="15"/>
  <c r="F182" i="15" s="1"/>
  <c r="G182" i="15" s="1"/>
  <c r="E5" i="15"/>
  <c r="F5" i="15" s="1"/>
  <c r="G5" i="15" s="1"/>
  <c r="E106" i="15"/>
  <c r="F106" i="15" s="1"/>
  <c r="G106" i="15" s="1"/>
  <c r="E119" i="15"/>
  <c r="F119" i="15" s="1"/>
  <c r="G119" i="15" s="1"/>
  <c r="E61" i="15"/>
  <c r="F61" i="15" s="1"/>
  <c r="G61" i="15" s="1"/>
  <c r="E162" i="15"/>
  <c r="F162" i="15" s="1"/>
  <c r="G162" i="15" s="1"/>
  <c r="E32" i="15"/>
  <c r="F32" i="15" s="1"/>
  <c r="G32" i="15" s="1"/>
  <c r="E117" i="15"/>
  <c r="F117" i="15" s="1"/>
  <c r="G117" i="15" s="1"/>
  <c r="E35" i="15"/>
  <c r="F35" i="15" s="1"/>
  <c r="G35" i="15" s="1"/>
  <c r="E88" i="15"/>
  <c r="F88" i="15" s="1"/>
  <c r="G88" i="15" s="1"/>
  <c r="E173" i="15"/>
  <c r="F173" i="15" s="1"/>
  <c r="G173" i="15" s="1"/>
  <c r="E194" i="15"/>
  <c r="F194" i="15" s="1"/>
  <c r="G194" i="15" s="1"/>
  <c r="E136" i="15"/>
  <c r="F136" i="15" s="1"/>
  <c r="G136" i="15" s="1"/>
  <c r="E128" i="15"/>
  <c r="F128" i="15" s="1"/>
  <c r="G128" i="15" s="1"/>
  <c r="E41" i="15"/>
  <c r="F41" i="15" s="1"/>
  <c r="G41" i="15" s="1"/>
  <c r="E155" i="15"/>
  <c r="F155" i="15" s="1"/>
  <c r="G155" i="15" s="1"/>
  <c r="E160" i="15"/>
  <c r="F160" i="15" s="1"/>
  <c r="G160" i="15" s="1"/>
  <c r="E39" i="15"/>
  <c r="F39" i="15" s="1"/>
  <c r="G39" i="15" s="1"/>
  <c r="E43" i="15"/>
  <c r="F43" i="15" s="1"/>
  <c r="G43" i="15" s="1"/>
  <c r="E81" i="15"/>
  <c r="F81" i="15" s="1"/>
  <c r="G81" i="15" s="1"/>
  <c r="E14" i="15"/>
  <c r="F14" i="15" s="1"/>
  <c r="G14" i="15" s="1"/>
  <c r="E36" i="15"/>
  <c r="F36" i="15" s="1"/>
  <c r="G36" i="15" s="1"/>
  <c r="E137" i="15"/>
  <c r="F137" i="15" s="1"/>
  <c r="G137" i="15" s="1"/>
  <c r="E70" i="15"/>
  <c r="F70" i="15" s="1"/>
  <c r="G70" i="15" s="1"/>
  <c r="E92" i="15"/>
  <c r="F92" i="15" s="1"/>
  <c r="G92" i="15" s="1"/>
  <c r="E193" i="15"/>
  <c r="F193" i="15" s="1"/>
  <c r="G193" i="15" s="1"/>
  <c r="E126" i="15"/>
  <c r="F126" i="15" s="1"/>
  <c r="G126" i="15" s="1"/>
  <c r="E148" i="15"/>
  <c r="F148" i="15" s="1"/>
  <c r="G148" i="15" s="1"/>
  <c r="E185" i="15"/>
  <c r="F185" i="15" s="1"/>
  <c r="G185" i="15" s="1"/>
  <c r="E118" i="15"/>
  <c r="F118" i="15" s="1"/>
  <c r="G118" i="15" s="1"/>
  <c r="E140" i="15"/>
  <c r="F140" i="15" s="1"/>
  <c r="G140" i="15" s="1"/>
  <c r="E42" i="15"/>
  <c r="F42" i="15" s="1"/>
  <c r="G42" i="15" s="1"/>
  <c r="E174" i="15"/>
  <c r="F174" i="15" s="1"/>
  <c r="G174" i="15" s="1"/>
  <c r="E196" i="15"/>
  <c r="F196" i="15" s="1"/>
  <c r="G196" i="15" s="1"/>
  <c r="E98" i="15"/>
  <c r="F98" i="15" s="1"/>
  <c r="G98" i="15" s="1"/>
  <c r="E103" i="15"/>
  <c r="F103" i="15" s="1"/>
  <c r="G103" i="15" s="1"/>
  <c r="E53" i="15"/>
  <c r="F53" i="15" s="1"/>
  <c r="G53" i="15" s="1"/>
  <c r="E154" i="15"/>
  <c r="F154" i="15" s="1"/>
  <c r="G154" i="15" s="1"/>
  <c r="E24" i="15"/>
  <c r="F24" i="15" s="1"/>
  <c r="G24" i="15" s="1"/>
  <c r="E109" i="15"/>
  <c r="F109" i="15" s="1"/>
  <c r="G109" i="15" s="1"/>
  <c r="E8" i="15"/>
  <c r="F8" i="15" s="1"/>
  <c r="G8" i="15" s="1"/>
  <c r="E149" i="15"/>
  <c r="F149" i="15" s="1"/>
  <c r="G149" i="15" s="1"/>
  <c r="E195" i="15"/>
  <c r="F195" i="15" s="1"/>
  <c r="G195" i="15" s="1"/>
  <c r="E97" i="15"/>
  <c r="F97" i="15" s="1"/>
  <c r="G97" i="15" s="1"/>
  <c r="E3" i="15"/>
  <c r="F3" i="15" s="1"/>
  <c r="G3" i="15" s="1"/>
  <c r="E80" i="15"/>
  <c r="F80" i="15" s="1"/>
  <c r="G80" i="15" s="1"/>
  <c r="E165" i="15"/>
  <c r="F165" i="15" s="1"/>
  <c r="G165" i="15" s="1"/>
  <c r="E112" i="15"/>
  <c r="F112" i="15" s="1"/>
  <c r="G112" i="15" s="1"/>
  <c r="E17" i="15"/>
  <c r="F17" i="15" s="1"/>
  <c r="G17" i="15" s="1"/>
  <c r="E127" i="15"/>
  <c r="F127" i="15" s="1"/>
  <c r="G127" i="15" s="1"/>
  <c r="E147" i="15"/>
  <c r="F147" i="15" s="1"/>
  <c r="G147" i="15" s="1"/>
  <c r="E73" i="15"/>
  <c r="F73" i="15" s="1"/>
  <c r="G73" i="15" s="1"/>
  <c r="E6" i="15"/>
  <c r="F6" i="15" s="1"/>
  <c r="G6" i="15" s="1"/>
  <c r="E28" i="15"/>
  <c r="F28" i="15" s="1"/>
  <c r="G28" i="15" s="1"/>
  <c r="E129" i="15"/>
  <c r="F129" i="15" s="1"/>
  <c r="G129" i="15" s="1"/>
  <c r="E62" i="15"/>
  <c r="F62" i="15" s="1"/>
  <c r="G62" i="15" s="1"/>
  <c r="E84" i="15"/>
  <c r="F84" i="15" s="1"/>
  <c r="G84" i="15" s="1"/>
  <c r="E121" i="15"/>
  <c r="F121" i="15" s="1"/>
  <c r="G121" i="15" s="1"/>
  <c r="E54" i="15"/>
  <c r="F54" i="15" s="1"/>
  <c r="G54" i="15" s="1"/>
  <c r="E76" i="15"/>
  <c r="F76" i="15" s="1"/>
  <c r="G76" i="15" s="1"/>
  <c r="E177" i="15"/>
  <c r="F177" i="15" s="1"/>
  <c r="G177" i="15" s="1"/>
  <c r="E110" i="15"/>
  <c r="F110" i="15" s="1"/>
  <c r="G110" i="15" s="1"/>
  <c r="E132" i="15"/>
  <c r="F132" i="15" s="1"/>
  <c r="G132" i="15" s="1"/>
  <c r="E34" i="15"/>
  <c r="F34" i="15" s="1"/>
  <c r="G34" i="15" s="1"/>
  <c r="E166" i="15"/>
  <c r="F166" i="15" s="1"/>
  <c r="G166" i="15" s="1"/>
  <c r="E188" i="15"/>
  <c r="F188" i="15" s="1"/>
  <c r="G188" i="15" s="1"/>
  <c r="E90" i="15"/>
  <c r="F90" i="15" s="1"/>
  <c r="G90" i="15" s="1"/>
  <c r="E87" i="15"/>
  <c r="F87" i="15" s="1"/>
  <c r="G87" i="15" s="1"/>
  <c r="E45" i="15"/>
  <c r="F45" i="15" s="1"/>
  <c r="G45" i="15" s="1"/>
  <c r="E138" i="15"/>
  <c r="F138" i="15" s="1"/>
  <c r="G138" i="15" s="1"/>
  <c r="E83" i="15"/>
  <c r="F83" i="15" s="1"/>
  <c r="G83" i="15" s="1"/>
  <c r="E146" i="15"/>
  <c r="F146" i="15" s="1"/>
  <c r="G146" i="15" s="1"/>
  <c r="E16" i="15"/>
  <c r="F16" i="15" s="1"/>
  <c r="G16" i="15" s="1"/>
  <c r="E101" i="15"/>
  <c r="F101" i="15" s="1"/>
  <c r="G101" i="15" s="1"/>
  <c r="E139" i="15"/>
  <c r="F139" i="15" s="1"/>
  <c r="G139" i="15" s="1"/>
  <c r="E152" i="15"/>
  <c r="F152" i="15" s="1"/>
  <c r="G152" i="15" s="1"/>
  <c r="E31" i="15"/>
  <c r="F31" i="15" s="1"/>
  <c r="G31" i="15" s="1"/>
  <c r="E27" i="15"/>
  <c r="F27" i="15" s="1"/>
  <c r="G27" i="15" s="1"/>
  <c r="E9" i="15"/>
  <c r="F9" i="15" s="1"/>
  <c r="G9" i="15" s="1"/>
  <c r="E111" i="15"/>
  <c r="F111" i="15" s="1"/>
  <c r="G111" i="15" s="1"/>
  <c r="E131" i="15"/>
  <c r="F131" i="15" s="1"/>
  <c r="G131" i="15" s="1"/>
  <c r="E65" i="15"/>
  <c r="F65" i="15" s="1"/>
  <c r="G65" i="15" s="1"/>
  <c r="E199" i="15"/>
  <c r="F199" i="15" s="1"/>
  <c r="G199" i="15" s="1"/>
  <c r="E20" i="15"/>
  <c r="F20" i="15" s="1"/>
  <c r="G20" i="15" s="1"/>
  <c r="E57" i="15"/>
  <c r="F57" i="15" s="1"/>
  <c r="G57" i="15" s="1"/>
  <c r="E183" i="15"/>
  <c r="F183" i="15" s="1"/>
  <c r="G183" i="15" s="1"/>
  <c r="E12" i="15"/>
  <c r="F12" i="15" s="1"/>
  <c r="G12" i="15" s="1"/>
  <c r="E113" i="15"/>
  <c r="F113" i="15" s="1"/>
  <c r="G113" i="15" s="1"/>
  <c r="E46" i="15"/>
  <c r="F46" i="15" s="1"/>
  <c r="G46" i="15" s="1"/>
  <c r="E68" i="15"/>
  <c r="F68" i="15" s="1"/>
  <c r="G68" i="15" s="1"/>
  <c r="E169" i="15"/>
  <c r="F169" i="15" s="1"/>
  <c r="G169" i="15" s="1"/>
  <c r="E102" i="15"/>
  <c r="F102" i="15" s="1"/>
  <c r="G102" i="15" s="1"/>
  <c r="E124" i="15"/>
  <c r="F124" i="15" s="1"/>
  <c r="G124" i="15" s="1"/>
  <c r="E26" i="15"/>
  <c r="F26" i="15" s="1"/>
  <c r="G26" i="15" s="1"/>
  <c r="E158" i="15"/>
  <c r="F158" i="15" s="1"/>
  <c r="G158" i="15" s="1"/>
  <c r="E180" i="15"/>
  <c r="F180" i="15" s="1"/>
  <c r="G180" i="15" s="1"/>
  <c r="E172" i="15"/>
  <c r="F172" i="15" s="1"/>
  <c r="G172" i="15" s="1"/>
  <c r="E184" i="15"/>
  <c r="F184" i="15" s="1"/>
  <c r="G184" i="15" s="1"/>
  <c r="E52" i="15"/>
  <c r="F52" i="15" s="1"/>
  <c r="G52" i="15" s="1"/>
  <c r="E82" i="15"/>
  <c r="F82" i="15" s="1"/>
  <c r="G82" i="15" s="1"/>
  <c r="E71" i="15"/>
  <c r="F71" i="15" s="1"/>
  <c r="G71" i="15" s="1"/>
  <c r="E37" i="15"/>
  <c r="F37" i="15" s="1"/>
  <c r="G37" i="15" s="1"/>
  <c r="E202" i="15"/>
  <c r="F202" i="15" s="1"/>
  <c r="G202" i="15" s="1"/>
  <c r="E72" i="15"/>
  <c r="F72" i="15" s="1"/>
  <c r="G72" i="15" s="1"/>
  <c r="E157" i="15"/>
  <c r="F157" i="15" s="1"/>
  <c r="G157" i="15" s="1"/>
  <c r="E123" i="15"/>
  <c r="F123" i="15" s="1"/>
  <c r="G123" i="15" s="1"/>
  <c r="E144" i="15"/>
  <c r="F144" i="15" s="1"/>
  <c r="G144" i="15" s="1"/>
  <c r="E23" i="15"/>
  <c r="F23" i="15" s="1"/>
  <c r="G23" i="15" s="1"/>
  <c r="E19" i="15"/>
  <c r="F19" i="15" s="1"/>
  <c r="G19" i="15" s="1"/>
  <c r="E200" i="15"/>
  <c r="F200" i="15" s="1"/>
  <c r="G200" i="15" s="1"/>
  <c r="E95" i="15"/>
  <c r="F95" i="15" s="1"/>
  <c r="G95" i="15" s="1"/>
  <c r="E115" i="15"/>
  <c r="F115" i="15" s="1"/>
  <c r="G115" i="15" s="1"/>
  <c r="E192" i="15"/>
  <c r="F192" i="15" s="1"/>
  <c r="G192" i="15" s="1"/>
  <c r="E79" i="15"/>
  <c r="F79" i="15" s="1"/>
  <c r="G79" i="15" s="1"/>
  <c r="E99" i="15"/>
  <c r="F99" i="15" s="1"/>
  <c r="G99" i="15" s="1"/>
  <c r="E49" i="15"/>
  <c r="F49" i="15" s="1"/>
  <c r="G49" i="15" s="1"/>
  <c r="E175" i="15"/>
  <c r="F175" i="15" s="1"/>
  <c r="G175" i="15" s="1"/>
  <c r="E4" i="15"/>
  <c r="F4" i="15" s="1"/>
  <c r="G4" i="15" s="1"/>
  <c r="E105" i="15"/>
  <c r="F105" i="15" s="1"/>
  <c r="G105" i="15" s="1"/>
  <c r="E38" i="15"/>
  <c r="F38" i="15" s="1"/>
  <c r="G38" i="15" s="1"/>
  <c r="E60" i="15"/>
  <c r="F60" i="15" s="1"/>
  <c r="G60" i="15" s="1"/>
  <c r="E161" i="15"/>
  <c r="F161" i="15" s="1"/>
  <c r="G161" i="15" s="1"/>
  <c r="E94" i="15"/>
  <c r="F94" i="15" s="1"/>
  <c r="G94" i="15" s="1"/>
  <c r="E116" i="15"/>
  <c r="F116" i="15" s="1"/>
  <c r="G116" i="15" s="1"/>
  <c r="E150" i="15"/>
  <c r="F150" i="15" s="1"/>
  <c r="G150" i="15" s="1"/>
  <c r="E91" i="15"/>
  <c r="F91" i="15" s="1"/>
  <c r="G91" i="15" s="1"/>
  <c r="E2" i="15"/>
  <c r="F2" i="15" s="1"/>
  <c r="G2" i="15" s="1"/>
  <c r="AV33" i="1" a="1"/>
  <c r="AV33" i="1" l="1"/>
  <c r="AK36" i="1"/>
  <c r="AP30" i="1" s="1"/>
  <c r="BB30" i="1"/>
  <c r="W34" i="1"/>
  <c r="W32" i="1"/>
  <c r="BB34" i="1" a="1"/>
  <c r="AV32" i="1" a="1"/>
  <c r="AP34" i="1" a="1"/>
  <c r="BB33" i="1" a="1"/>
  <c r="AV34" i="1" a="1"/>
  <c r="BB32" i="1" a="1"/>
  <c r="AP33" i="1" a="1"/>
  <c r="AP32" i="1" a="1"/>
  <c r="BB32" i="1" l="1"/>
  <c r="AV32" i="1"/>
  <c r="AP32" i="1"/>
  <c r="BB34" i="1"/>
  <c r="AV34" i="1"/>
  <c r="AP34" i="1"/>
  <c r="BB33" i="1"/>
  <c r="AP33" i="1"/>
  <c r="AJ30" i="1"/>
  <c r="W31" i="1"/>
  <c r="W35" i="1"/>
  <c r="BH30" i="1"/>
  <c r="AP35" i="1" a="1"/>
  <c r="BH33" i="1" a="1"/>
  <c r="AJ32" i="1" a="1"/>
  <c r="AP31" i="1" a="1"/>
  <c r="AV31" i="1" a="1"/>
  <c r="BB31" i="1" a="1"/>
  <c r="AJ35" i="1" a="1"/>
  <c r="BH32" i="1" a="1"/>
  <c r="BH31" i="1" a="1"/>
  <c r="AV35" i="1" a="1"/>
  <c r="BH35" i="1" a="1"/>
  <c r="BH34" i="1" a="1"/>
  <c r="BB35" i="1" a="1"/>
  <c r="AJ34" i="1" a="1"/>
  <c r="AJ33" i="1" a="1"/>
  <c r="AJ31" i="1" a="1"/>
  <c r="BH35" i="1" l="1"/>
  <c r="BB35" i="1"/>
  <c r="AV35" i="1"/>
  <c r="AP35" i="1"/>
  <c r="AJ35" i="1"/>
  <c r="BH31" i="1"/>
  <c r="BB31" i="1"/>
  <c r="AV31" i="1"/>
  <c r="AP31" i="1"/>
  <c r="AJ31" i="1"/>
  <c r="BH33" i="1"/>
  <c r="BH34" i="1"/>
  <c r="BH32" i="1"/>
  <c r="AJ33" i="1"/>
  <c r="AJ34" i="1"/>
  <c r="AJ32" i="1"/>
  <c r="BN30" i="1"/>
  <c r="AD30" i="1"/>
  <c r="AD34" i="1" a="1"/>
  <c r="BN35" i="1" a="1"/>
  <c r="AD32" i="1" a="1"/>
  <c r="AD33" i="1" a="1"/>
  <c r="BN32" i="1" a="1"/>
  <c r="BN31" i="1" a="1"/>
  <c r="BN33" i="1" a="1"/>
  <c r="BN34" i="1" a="1"/>
  <c r="AD31" i="1" a="1"/>
  <c r="AD35" i="1" a="1"/>
  <c r="AD33" i="1" l="1"/>
  <c r="AD34" i="1"/>
  <c r="AD32" i="1"/>
  <c r="AD31" i="1"/>
  <c r="AD35" i="1"/>
  <c r="BN33" i="1"/>
  <c r="BN34" i="1"/>
  <c r="BN32" i="1"/>
  <c r="BN31" i="1"/>
  <c r="BN3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Nicolás Cuesta Quintero</author>
  </authors>
  <commentList>
    <comment ref="AB8" authorId="0" shapeId="0" xr:uid="{CF000528-0981-4335-81AE-E2DC18C6E75A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3M T-Bills.</t>
        </r>
      </text>
    </comment>
    <comment ref="AB9" authorId="0" shapeId="0" xr:uid="{599ABF54-45B0-41DC-8641-887B5E9EE827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EWMA 100 Days. Lambda = 0.94.</t>
        </r>
      </text>
    </comment>
    <comment ref="AB12" authorId="0" shapeId="0" xr:uid="{A169DAF5-B042-473C-A245-2E3808C70946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CRR Assumes no dividends. BSM assumes Yahoo Finance forward dividend yield.</t>
        </r>
      </text>
    </comment>
    <comment ref="D25" authorId="0" shapeId="0" xr:uid="{AB467E43-D649-4784-9ABE-3A7E3045A957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Based on BSM model.</t>
        </r>
      </text>
    </comment>
    <comment ref="E33" authorId="0" shapeId="0" xr:uid="{B54B4D27-F739-4CF0-B893-D6EB3E5902E7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S</t>
        </r>
      </text>
    </comment>
    <comment ref="E35" authorId="0" shapeId="0" xr:uid="{0D26A67D-ADAF-4EC5-B1C2-C7A160462D41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S^2</t>
        </r>
      </text>
    </comment>
    <comment ref="E37" authorId="0" shapeId="0" xr:uid="{B83524F4-9BA3-4231-9DCA-6B2BD537BF66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t</t>
        </r>
      </text>
    </comment>
    <comment ref="E39" authorId="0" shapeId="0" xr:uid="{762E9EB5-77B3-47F3-8804-9346F46C58F2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Sigma</t>
        </r>
      </text>
    </comment>
    <comment ref="E41" authorId="0" shapeId="0" xr:uid="{E591D3B5-C7D5-439C-9D0E-939414AC51F7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rf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F4DB53-48B0-4121-BE12-597A0F6DB895}" keepAlive="1" name="Query - Symbol" description="Connection to the 'Symbol' query in the workbook." type="5" refreshedVersion="0" background="1">
    <dbPr connection="Provider=Microsoft.Mashup.OleDb.1;Data Source=$Workbook$;Location=Symbol;Extended Properties=&quot;&quot;" command="SELECT * FROM [Symbol]"/>
  </connection>
  <connection id="2" xr16:uid="{8FF8FC48-7965-46F6-8064-7DF5B31CF2CD}" keepAlive="1" name="Query - Symbol (ref)" description="Connection to the 'Symbol (ref)' query in the workbook." type="5" refreshedVersion="6" background="1" saveData="1">
    <dbPr connection="Provider=Microsoft.Mashup.OleDb.1;Data Source=$Workbook$;Location=&quot;Symbol (ref)&quot;;Extended Properties=&quot;&quot;" command="SELECT * FROM [Symbol (ref)]"/>
  </connection>
  <connection id="3" xr16:uid="{FACE9067-DAD5-433C-B843-B3074F749845}" keepAlive="1" name="Query - T-Bills 3M" description="Connection to the 'T-Bills 3M' query in the workbook." type="5" refreshedVersion="6" background="1" saveData="1">
    <dbPr connection="Provider=Microsoft.Mashup.OleDb.1;Data Source=$Workbook$;Location=&quot;T-Bills 3M&quot;;Extended Properties=&quot;&quot;" command="SELECT * FROM [T-Bills 3M]"/>
  </connection>
  <connection id="4" xr16:uid="{FD4A39A7-5E15-4A55-959C-781B5571E9D4}" keepAlive="1" interval="15" name="Query - YF Calls" description="Connection to the 'YF Calls' query in the workbook." type="5" refreshedVersion="6" background="1" refreshOnLoad="1" saveData="1">
    <dbPr connection="Provider=Microsoft.Mashup.OleDb.1;Data Source=$Workbook$;Location=&quot;YF Calls&quot;;Extended Properties=&quot;&quot;" command="SELECT * FROM [YF Calls]"/>
  </connection>
  <connection id="5" xr16:uid="{2FF3C36D-9F51-44C1-8577-4F4662643006}" keepAlive="1" interval="15" name="Query - YF Puts" description="Connection to the 'YF Puts' query in the workbook." type="5" refreshedVersion="6" background="1" refreshOnLoad="1" saveData="1">
    <dbPr connection="Provider=Microsoft.Mashup.OleDb.1;Data Source=$Workbook$;Location=&quot;YF Puts&quot;;Extended Properties=&quot;&quot;" command="SELECT * FROM [YF Puts]"/>
  </connection>
  <connection id="6" xr16:uid="{3FDAD1BD-336F-4EF6-A553-DC457F9E97EA}" keepAlive="1" interval="15" name="Query - YF Spot" description="Connection to the 'YF Spot' query in the workbook." type="5" refreshedVersion="6" background="1" refreshOnLoad="1" saveData="1">
    <dbPr connection="Provider=Microsoft.Mashup.OleDb.1;Data Source=$Workbook$;Location=&quot;YF Spot&quot;;Extended Properties=&quot;&quot;" command="SELECT * FROM [YF Spot]"/>
  </connection>
  <connection id="7" xr16:uid="{3F998297-A792-463F-AD12-9CAE82BE81B7}" keepAlive="1" interval="15" name="Query - YF Summary A" description="Connection to the 'YF Summary A' query in the workbook." type="5" refreshedVersion="6" background="1" saveData="1">
    <dbPr connection="Provider=Microsoft.Mashup.OleDb.1;Data Source=$Workbook$;Location=&quot;YF Summary A&quot;;Extended Properties=&quot;&quot;" command="SELECT * FROM [YF Summary A]"/>
  </connection>
  <connection id="8" xr16:uid="{61A3AA05-7E7D-4175-B93E-6272D991C470}" keepAlive="1" interval="15" name="Query - YF Summary B" description="Connection to the 'YF Summary B' query in the workbook." type="5" refreshedVersion="6" background="1" saveData="1">
    <dbPr connection="Provider=Microsoft.Mashup.OleDb.1;Data Source=$Workbook$;Location=&quot;YF Summary B&quot;;Extended Properties=&quot;&quot;" command="SELECT * FROM [YF Summary 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<sst xmlns="http://schemas.openxmlformats.org/spreadsheetml/2006/main" count="845" uniqueCount="609">
  <si>
    <t>Date</t>
  </si>
  <si>
    <t>Open</t>
  </si>
  <si>
    <t>High</t>
  </si>
  <si>
    <t>Low</t>
  </si>
  <si>
    <t>Close*</t>
  </si>
  <si>
    <t>Adj Close**</t>
  </si>
  <si>
    <t>Volume</t>
  </si>
  <si>
    <t>Column1</t>
  </si>
  <si>
    <t>Column2</t>
  </si>
  <si>
    <t>Market Cap</t>
  </si>
  <si>
    <t>Beta (5Y Monthly)</t>
  </si>
  <si>
    <t>PE Ratio (TTM)</t>
  </si>
  <si>
    <t>EPS (TTM)</t>
  </si>
  <si>
    <t>Earnings Date</t>
  </si>
  <si>
    <t>Forward Dividend &amp; Yield</t>
  </si>
  <si>
    <t>Ex-Dividend Date</t>
  </si>
  <si>
    <t>1y Target Est</t>
  </si>
  <si>
    <t>Contract Name</t>
  </si>
  <si>
    <t>Last Trade Date</t>
  </si>
  <si>
    <t>Strike</t>
  </si>
  <si>
    <t>Last Price</t>
  </si>
  <si>
    <t>Bid</t>
  </si>
  <si>
    <t>Ask</t>
  </si>
  <si>
    <t>Change</t>
  </si>
  <si>
    <t>% Change</t>
  </si>
  <si>
    <t>Open Interest</t>
  </si>
  <si>
    <t>Implied Volatility</t>
  </si>
  <si>
    <t>-</t>
  </si>
  <si>
    <t>4</t>
  </si>
  <si>
    <t>1</t>
  </si>
  <si>
    <t>-50.00%</t>
  </si>
  <si>
    <t>7</t>
  </si>
  <si>
    <t>Previous Close</t>
  </si>
  <si>
    <t>Day's Range</t>
  </si>
  <si>
    <t>52 Week Range</t>
  </si>
  <si>
    <t>Avg. Volume</t>
  </si>
  <si>
    <t>5</t>
  </si>
  <si>
    <t>2021-02-12 9:58AM EST</t>
  </si>
  <si>
    <t>17</t>
  </si>
  <si>
    <t>10</t>
  </si>
  <si>
    <t>SYMBOL</t>
  </si>
  <si>
    <t>Symbol (ref)</t>
  </si>
  <si>
    <t>SPOT</t>
  </si>
  <si>
    <t>SPOT INFORMATION</t>
  </si>
  <si>
    <t>Type</t>
  </si>
  <si>
    <t>Size</t>
  </si>
  <si>
    <t>PRICE:</t>
  </si>
  <si>
    <t>TYPE:</t>
  </si>
  <si>
    <t>STRIKE:</t>
  </si>
  <si>
    <t>MATURITY:</t>
  </si>
  <si>
    <t>SIZE:</t>
  </si>
  <si>
    <t>AS OF</t>
  </si>
  <si>
    <t>FMV:</t>
  </si>
  <si>
    <t>SPOT:</t>
  </si>
  <si>
    <t>RF RATE:</t>
  </si>
  <si>
    <t>VOLATILITY:</t>
  </si>
  <si>
    <t>METHOD:</t>
  </si>
  <si>
    <t>CALL</t>
  </si>
  <si>
    <t>BSM</t>
  </si>
  <si>
    <t>SPOT(-1):</t>
  </si>
  <si>
    <t>OPEN:</t>
  </si>
  <si>
    <t>BID:</t>
  </si>
  <si>
    <t>ASK:</t>
  </si>
  <si>
    <t>DAY'S RANGE:</t>
  </si>
  <si>
    <t>MARKET CAP:</t>
  </si>
  <si>
    <t>VOLUME:</t>
  </si>
  <si>
    <t>AV. VOLUME:</t>
  </si>
  <si>
    <t>EX-DIVIDEND:</t>
  </si>
  <si>
    <t>EARNINGS</t>
  </si>
  <si>
    <t>Rank</t>
  </si>
  <si>
    <t>Close</t>
  </si>
  <si>
    <t>HPR</t>
  </si>
  <si>
    <t>VAR</t>
  </si>
  <si>
    <t>SD</t>
  </si>
  <si>
    <t>LAMBDA</t>
  </si>
  <si>
    <t>P + 2SD</t>
  </si>
  <si>
    <t>P - 2SD</t>
  </si>
  <si>
    <t>POTENTIAL (OR ACTUAL) TRADE</t>
  </si>
  <si>
    <t>Spot</t>
  </si>
  <si>
    <t>Price</t>
  </si>
  <si>
    <t>Delta</t>
  </si>
  <si>
    <t>Min %</t>
  </si>
  <si>
    <t>Min $</t>
  </si>
  <si>
    <t>S</t>
  </si>
  <si>
    <t>Uo</t>
  </si>
  <si>
    <t>Scenario</t>
  </si>
  <si>
    <t>Return</t>
  </si>
  <si>
    <t>Status</t>
  </si>
  <si>
    <t>Prime</t>
  </si>
  <si>
    <t>XAC</t>
  </si>
  <si>
    <t>CALLS</t>
  </si>
  <si>
    <t>PUTS</t>
  </si>
  <si>
    <t>TOP 5 QUOTES BY OPEN INTEREST</t>
  </si>
  <si>
    <t>Vol.</t>
  </si>
  <si>
    <t>Last 5 Days</t>
  </si>
  <si>
    <t>OPEN</t>
  </si>
  <si>
    <t>HIGH</t>
  </si>
  <si>
    <t>LOW</t>
  </si>
  <si>
    <t>CLOSE</t>
  </si>
  <si>
    <t>DIV. YIELD:</t>
  </si>
  <si>
    <t>P/E TTM:</t>
  </si>
  <si>
    <t>EPS TTM:</t>
  </si>
  <si>
    <t>BETA (5Y):</t>
  </si>
  <si>
    <t>DELTA:</t>
  </si>
  <si>
    <t>GAMMA:</t>
  </si>
  <si>
    <t>THETA:</t>
  </si>
  <si>
    <t>VEGA:</t>
  </si>
  <si>
    <t>RHO:</t>
  </si>
  <si>
    <t>IM. VOLATILITY:</t>
  </si>
  <si>
    <t>SCENARIO ANALYSIS</t>
  </si>
  <si>
    <t>Volatility</t>
  </si>
  <si>
    <t>Spot Price</t>
  </si>
  <si>
    <t>GREEKS</t>
  </si>
  <si>
    <t>ytm</t>
  </si>
  <si>
    <t>ytm:</t>
  </si>
  <si>
    <t>u:</t>
  </si>
  <si>
    <t>d:</t>
  </si>
  <si>
    <t>VOLATILITY SUNRISE</t>
  </si>
  <si>
    <t>rf</t>
  </si>
  <si>
    <t>Option</t>
  </si>
  <si>
    <t>Min</t>
  </si>
  <si>
    <t>Max</t>
  </si>
  <si>
    <t>N</t>
  </si>
  <si>
    <t>n</t>
  </si>
  <si>
    <t>ytm = years to maturity</t>
  </si>
  <si>
    <t>Ux</t>
  </si>
  <si>
    <t>AAPL</t>
  </si>
  <si>
    <t>135.13</t>
  </si>
  <si>
    <t>134.35</t>
  </si>
  <si>
    <t>135.40 x 1000</t>
  </si>
  <si>
    <t>135.47 x 1300</t>
  </si>
  <si>
    <t>133.69 - 135.51</t>
  </si>
  <si>
    <t>53.15 - 145.09</t>
  </si>
  <si>
    <t>60,145,130</t>
  </si>
  <si>
    <t>102,825,663</t>
  </si>
  <si>
    <t>AAPL210219P00130000</t>
  </si>
  <si>
    <t>2021-02-12 3:59PM EST</t>
  </si>
  <si>
    <t>-41.51%</t>
  </si>
  <si>
    <t>11,547</t>
  </si>
  <si>
    <t>AAPL210219P00120000</t>
  </si>
  <si>
    <t>2021-02-12 3:58PM EST</t>
  </si>
  <si>
    <t>-30.77%</t>
  </si>
  <si>
    <t>1,263</t>
  </si>
  <si>
    <t>AAPL210219P00135000</t>
  </si>
  <si>
    <t>-28.79%</t>
  </si>
  <si>
    <t>13,820</t>
  </si>
  <si>
    <t>AAPL210219P00115000</t>
  </si>
  <si>
    <t>2021-02-12 3:52PM EST</t>
  </si>
  <si>
    <t>-12.50%</t>
  </si>
  <si>
    <t>655</t>
  </si>
  <si>
    <t>AAPL210219P00110000</t>
  </si>
  <si>
    <t>2021-02-12 3:32PM EST</t>
  </si>
  <si>
    <t>+25.00%</t>
  </si>
  <si>
    <t>3,694</t>
  </si>
  <si>
    <t>AAPL210219P00105000</t>
  </si>
  <si>
    <t>2021-02-12 3:45PM EST</t>
  </si>
  <si>
    <t>+50.00%</t>
  </si>
  <si>
    <t>376</t>
  </si>
  <si>
    <t>AAPL210219P00125000</t>
  </si>
  <si>
    <t>-33.33%</t>
  </si>
  <si>
    <t>3,523</t>
  </si>
  <si>
    <t>AAPL210219P00100000</t>
  </si>
  <si>
    <t>2021-02-12 3:12PM EST</t>
  </si>
  <si>
    <t>262</t>
  </si>
  <si>
    <t>AAPL210219P00140000</t>
  </si>
  <si>
    <t>-7.59%</t>
  </si>
  <si>
    <t>1,750</t>
  </si>
  <si>
    <t>AAPL210219P00136000</t>
  </si>
  <si>
    <t>-20.99%</t>
  </si>
  <si>
    <t>3,076</t>
  </si>
  <si>
    <t>AAPL210219P00131000</t>
  </si>
  <si>
    <t>-38.81%</t>
  </si>
  <si>
    <t>7,342</t>
  </si>
  <si>
    <t>AAPL210219P00132000</t>
  </si>
  <si>
    <t>-38.64%</t>
  </si>
  <si>
    <t>8,612</t>
  </si>
  <si>
    <t>AAPL210219P00150000</t>
  </si>
  <si>
    <t>2021-02-12 2:45PM EST</t>
  </si>
  <si>
    <t>-0.13%</t>
  </si>
  <si>
    <t>50</t>
  </si>
  <si>
    <t>AAPL210219P00126000</t>
  </si>
  <si>
    <t>-30.43%</t>
  </si>
  <si>
    <t>1,583</t>
  </si>
  <si>
    <t>AAPL210219P00128000</t>
  </si>
  <si>
    <t>-37.50%</t>
  </si>
  <si>
    <t>2,792</t>
  </si>
  <si>
    <t>AAPL210219P00127000</t>
  </si>
  <si>
    <t>2021-02-12 3:57PM EST</t>
  </si>
  <si>
    <t>2,212</t>
  </si>
  <si>
    <t>AAPL210219P00121000</t>
  </si>
  <si>
    <t>-28.57%</t>
  </si>
  <si>
    <t>595</t>
  </si>
  <si>
    <t>AAPL210219P00133000</t>
  </si>
  <si>
    <t>-33.93%</t>
  </si>
  <si>
    <t>7,881</t>
  </si>
  <si>
    <t>AAPL210219P00129000</t>
  </si>
  <si>
    <t>-40.48%</t>
  </si>
  <si>
    <t>2,299</t>
  </si>
  <si>
    <t>AAPL210219P00145000</t>
  </si>
  <si>
    <t>2021-02-12 3:51PM EST</t>
  </si>
  <si>
    <t>-0.79%</t>
  </si>
  <si>
    <t>132</t>
  </si>
  <si>
    <t>AAPL210219P00134000</t>
  </si>
  <si>
    <t>13,485</t>
  </si>
  <si>
    <t>AAPL210219P00090000</t>
  </si>
  <si>
    <t>2021-02-12 2:15PM EST</t>
  </si>
  <si>
    <t>589</t>
  </si>
  <si>
    <t>AAPL210219P00085000</t>
  </si>
  <si>
    <t>2021-02-12 2:14PM EST</t>
  </si>
  <si>
    <t>20</t>
  </si>
  <si>
    <t>AAPL210219P00095000</t>
  </si>
  <si>
    <t>2021-02-12 3:54PM EST</t>
  </si>
  <si>
    <t>775</t>
  </si>
  <si>
    <t>AAPL210219P00137000</t>
  </si>
  <si>
    <t>-16.39%</t>
  </si>
  <si>
    <t>1,990</t>
  </si>
  <si>
    <t>AAPL210219P00139000</t>
  </si>
  <si>
    <t>-11.50%</t>
  </si>
  <si>
    <t>391</t>
  </si>
  <si>
    <t>AAPL210219P00119000</t>
  </si>
  <si>
    <t>2021-02-12 3:50PM EST</t>
  </si>
  <si>
    <t>-20.00%</t>
  </si>
  <si>
    <t>AAPL210219P00080000</t>
  </si>
  <si>
    <t>2021-02-12 3:55PM EST</t>
  </si>
  <si>
    <t>21</t>
  </si>
  <si>
    <t>AAPL210219P00141000</t>
  </si>
  <si>
    <t>2021-02-12 3:48PM EST</t>
  </si>
  <si>
    <t>-5.54%</t>
  </si>
  <si>
    <t>239</t>
  </si>
  <si>
    <t>AAPL210219P00124000</t>
  </si>
  <si>
    <t>2021-02-12 3:56PM EST</t>
  </si>
  <si>
    <t>1,245</t>
  </si>
  <si>
    <t>AAPL210219P00142000</t>
  </si>
  <si>
    <t>2021-02-12 3:14PM EST</t>
  </si>
  <si>
    <t>+5.49%</t>
  </si>
  <si>
    <t>194</t>
  </si>
  <si>
    <t>AAPL210219P00122000</t>
  </si>
  <si>
    <t>-21.43%</t>
  </si>
  <si>
    <t>901</t>
  </si>
  <si>
    <t>AAPL210219P00075000</t>
  </si>
  <si>
    <t>2021-02-04 1:40PM EST</t>
  </si>
  <si>
    <t>AAPL210219P00138000</t>
  </si>
  <si>
    <t>-15.58%</t>
  </si>
  <si>
    <t>2,080</t>
  </si>
  <si>
    <t>AAPL210219P00144000</t>
  </si>
  <si>
    <t>2021-02-12 3:27PM EST</t>
  </si>
  <si>
    <t>-10.87%</t>
  </si>
  <si>
    <t>51</t>
  </si>
  <si>
    <t>AAPL210219P00118000</t>
  </si>
  <si>
    <t>2021-02-12 3:38PM EST</t>
  </si>
  <si>
    <t>-40.00%</t>
  </si>
  <si>
    <t>1,034</t>
  </si>
  <si>
    <t>AAPL210219P00050000</t>
  </si>
  <si>
    <t>2021-02-01 11:08AM EST</t>
  </si>
  <si>
    <t>59</t>
  </si>
  <si>
    <t>AAPL210219P00107000</t>
  </si>
  <si>
    <t>2021-02-12 3:31PM EST</t>
  </si>
  <si>
    <t>277</t>
  </si>
  <si>
    <t>AAPL210219P00123000</t>
  </si>
  <si>
    <t>2021-02-12 3:30PM EST</t>
  </si>
  <si>
    <t>-31.25%</t>
  </si>
  <si>
    <t>378</t>
  </si>
  <si>
    <t>AAPL210219P00117000</t>
  </si>
  <si>
    <t>2021-02-12 3:04PM EST</t>
  </si>
  <si>
    <t>-22.22%</t>
  </si>
  <si>
    <t>1,819</t>
  </si>
  <si>
    <t>AAPL210219P00060000</t>
  </si>
  <si>
    <t>2021-02-08 10:10AM EST</t>
  </si>
  <si>
    <t>AAPL210219P00102000</t>
  </si>
  <si>
    <t>2021-02-12 3:10PM EST</t>
  </si>
  <si>
    <t>33</t>
  </si>
  <si>
    <t>AAPL210219P00114000</t>
  </si>
  <si>
    <t>2021-02-12 3:41PM EST</t>
  </si>
  <si>
    <t>223</t>
  </si>
  <si>
    <t>AAPL210219P00055000</t>
  </si>
  <si>
    <t>2021-02-01 12:15PM EST</t>
  </si>
  <si>
    <t>534</t>
  </si>
  <si>
    <t>AAPL210219P00143000</t>
  </si>
  <si>
    <t>2021-02-12 3:46PM EST</t>
  </si>
  <si>
    <t>-4.00%</t>
  </si>
  <si>
    <t>286</t>
  </si>
  <si>
    <t>AAPL210219P00070000</t>
  </si>
  <si>
    <t>2021-02-11 2:09PM EST</t>
  </si>
  <si>
    <t>6</t>
  </si>
  <si>
    <t>AAPL210219P00112000</t>
  </si>
  <si>
    <t>335</t>
  </si>
  <si>
    <t>AAPL210219P00111000</t>
  </si>
  <si>
    <t>2021-02-12 12:30PM EST</t>
  </si>
  <si>
    <t>205</t>
  </si>
  <si>
    <t>AAPL210219P00045000</t>
  </si>
  <si>
    <t>2021-02-01 11:14AM EST</t>
  </si>
  <si>
    <t>203</t>
  </si>
  <si>
    <t>AAPL210219P00113000</t>
  </si>
  <si>
    <t>2021-02-12 3:20PM EST</t>
  </si>
  <si>
    <t>-16.67%</t>
  </si>
  <si>
    <t>380</t>
  </si>
  <si>
    <t>AAPL210219P00109000</t>
  </si>
  <si>
    <t>2021-02-12 3:21PM EST</t>
  </si>
  <si>
    <t>-25.00%</t>
  </si>
  <si>
    <t>82</t>
  </si>
  <si>
    <t>AAPL210219P00103000</t>
  </si>
  <si>
    <t>2021-02-12 12:33PM EST</t>
  </si>
  <si>
    <t>-80.00%</t>
  </si>
  <si>
    <t>41</t>
  </si>
  <si>
    <t>AAPL210219P00155000</t>
  </si>
  <si>
    <t>-1.36%</t>
  </si>
  <si>
    <t>8</t>
  </si>
  <si>
    <t>AAPL210219P00160000</t>
  </si>
  <si>
    <t>2021-02-12 12:34PM EST</t>
  </si>
  <si>
    <t>+4.57%</t>
  </si>
  <si>
    <t>AAPL210219P00116000</t>
  </si>
  <si>
    <t>2021-02-12 3:40PM EST</t>
  </si>
  <si>
    <t>681</t>
  </si>
  <si>
    <t>AAPL210219P00108000</t>
  </si>
  <si>
    <t>2021-02-12 11:13AM EST</t>
  </si>
  <si>
    <t>42</t>
  </si>
  <si>
    <t>AAPL210219P00106000</t>
  </si>
  <si>
    <t>2021-02-12 3:33PM EST</t>
  </si>
  <si>
    <t>+200.00%</t>
  </si>
  <si>
    <t>145</t>
  </si>
  <si>
    <t>AAPL210219P00165000</t>
  </si>
  <si>
    <t>2021-02-11 3:23PM EST</t>
  </si>
  <si>
    <t>AAPL210219P00147000</t>
  </si>
  <si>
    <t>2021-02-12 2:01PM EST</t>
  </si>
  <si>
    <t>+7.27%</t>
  </si>
  <si>
    <t>AAPL210219P00101000</t>
  </si>
  <si>
    <t>2021-02-12 3:47PM EST</t>
  </si>
  <si>
    <t>479</t>
  </si>
  <si>
    <t>AAPL210219P00170000</t>
  </si>
  <si>
    <t>2021-02-10 11:33AM EST</t>
  </si>
  <si>
    <t>12</t>
  </si>
  <si>
    <t>AAPL210219P00065000</t>
  </si>
  <si>
    <t>2021-02-05 12:57PM EST</t>
  </si>
  <si>
    <t>AAPL210219P00146000</t>
  </si>
  <si>
    <t>2021-02-11 1:33PM EST</t>
  </si>
  <si>
    <t>9</t>
  </si>
  <si>
    <t>AAPL210219P00149000</t>
  </si>
  <si>
    <t>2021-02-12 11:29AM EST</t>
  </si>
  <si>
    <t>+1.39%</t>
  </si>
  <si>
    <t>AAPL210219P00148000</t>
  </si>
  <si>
    <t>2021-02-12 2:58PM EST</t>
  </si>
  <si>
    <t>-0.52%</t>
  </si>
  <si>
    <t>62</t>
  </si>
  <si>
    <t>AAPL210219P00175000</t>
  </si>
  <si>
    <t>2021-02-05 1:17PM EST</t>
  </si>
  <si>
    <t>+7.08%</t>
  </si>
  <si>
    <t>AAPL210219P00152500</t>
  </si>
  <si>
    <t>2021-02-12 2:48PM EST</t>
  </si>
  <si>
    <t>-0.55%</t>
  </si>
  <si>
    <t>AAPL210219P00104000</t>
  </si>
  <si>
    <t>2021-02-12 1:52PM EST</t>
  </si>
  <si>
    <t>2</t>
  </si>
  <si>
    <t>AAPL210219P00157500</t>
  </si>
  <si>
    <t>2021-02-12 12:43PM EST</t>
  </si>
  <si>
    <t>+5.44%</t>
  </si>
  <si>
    <t>AAPL210219P00200000</t>
  </si>
  <si>
    <t>2021-02-10 10:58AM EST</t>
  </si>
  <si>
    <t>AAPL210219P00035000</t>
  </si>
  <si>
    <t>2021-02-09 10:48AM EST</t>
  </si>
  <si>
    <t>AAPL210219P00040000</t>
  </si>
  <si>
    <t>2021-01-25 10:53AM EST</t>
  </si>
  <si>
    <t>AAPL210219P00025000</t>
  </si>
  <si>
    <t>2021-02-11 10:04AM EST</t>
  </si>
  <si>
    <t>AAPL210219P00230000</t>
  </si>
  <si>
    <t>2021-02-04 2:59PM EST</t>
  </si>
  <si>
    <t>AAPL210219P00180000</t>
  </si>
  <si>
    <t>2021-02-08 2:53PM EST</t>
  </si>
  <si>
    <t>AAPL210219P00030000</t>
  </si>
  <si>
    <t>2021-02-03 10:38AM EST</t>
  </si>
  <si>
    <t>30</t>
  </si>
  <si>
    <t>AAPL210219P00185000</t>
  </si>
  <si>
    <t>2021-01-29 10:35AM EST</t>
  </si>
  <si>
    <t>134</t>
  </si>
  <si>
    <t>AAPL210219P00205000</t>
  </si>
  <si>
    <t>2020-12-29 9:44AM EST</t>
  </si>
  <si>
    <t>AAPL210219P00195000</t>
  </si>
  <si>
    <t>2021-02-04 2:32PM EST</t>
  </si>
  <si>
    <t>AAPL210219P00220000</t>
  </si>
  <si>
    <t>2021-01-29 3:45PM EST</t>
  </si>
  <si>
    <t>AAPL210219P00215000</t>
  </si>
  <si>
    <t>2021-01-21 1:51PM EST</t>
  </si>
  <si>
    <t>AAPL210219P00225000</t>
  </si>
  <si>
    <t>2021-01-19 12:13AM EST</t>
  </si>
  <si>
    <t>AAPL210219P00210000</t>
  </si>
  <si>
    <t>AAPL210219P00190000</t>
  </si>
  <si>
    <t>2.273T</t>
  </si>
  <si>
    <t>1.27</t>
  </si>
  <si>
    <t>36.72</t>
  </si>
  <si>
    <t>3.69</t>
  </si>
  <si>
    <t>Apr 28, 2021 - May 03, 2021</t>
  </si>
  <si>
    <t>0.82 (0.61%)</t>
  </si>
  <si>
    <t>Feb 05, 2021</t>
  </si>
  <si>
    <t>151.75</t>
  </si>
  <si>
    <t>AAPL210219C00140000</t>
  </si>
  <si>
    <t>-29.41%</t>
  </si>
  <si>
    <t>46,897</t>
  </si>
  <si>
    <t>AAPL210219C00135000</t>
  </si>
  <si>
    <t>-11.54%</t>
  </si>
  <si>
    <t>48,689</t>
  </si>
  <si>
    <t>AAPL210219C00145000</t>
  </si>
  <si>
    <t>-15.38%</t>
  </si>
  <si>
    <t>13,674</t>
  </si>
  <si>
    <t>AAPL210219C00130000</t>
  </si>
  <si>
    <t>+1.58%</t>
  </si>
  <si>
    <t>7,679</t>
  </si>
  <si>
    <t>AAPL210219C00150000</t>
  </si>
  <si>
    <t>-14.29%</t>
  </si>
  <si>
    <t>9,839</t>
  </si>
  <si>
    <t>AAPL210219C00125000</t>
  </si>
  <si>
    <t>+2.43%</t>
  </si>
  <si>
    <t>1,103</t>
  </si>
  <si>
    <t>AAPL210219C00160000</t>
  </si>
  <si>
    <t>1,029</t>
  </si>
  <si>
    <t>AAPL210219C00120000</t>
  </si>
  <si>
    <t>+1.91%</t>
  </si>
  <si>
    <t>785</t>
  </si>
  <si>
    <t>AAPL210219C00155000</t>
  </si>
  <si>
    <t>2,497</t>
  </si>
  <si>
    <t>AAPL210219C00136000</t>
  </si>
  <si>
    <t>-15.53%</t>
  </si>
  <si>
    <t>32,201</t>
  </si>
  <si>
    <t>AAPL210219C00165000</t>
  </si>
  <si>
    <t>2021-02-12 3:26PM EST</t>
  </si>
  <si>
    <t>252</t>
  </si>
  <si>
    <t>AAPL210219C00137000</t>
  </si>
  <si>
    <t>-18.85%</t>
  </si>
  <si>
    <t>18,420</t>
  </si>
  <si>
    <t>AAPL210219C00170000</t>
  </si>
  <si>
    <t>325</t>
  </si>
  <si>
    <t>AAPL210219C00180000</t>
  </si>
  <si>
    <t>2021-02-12 3:29PM EST</t>
  </si>
  <si>
    <t>224</t>
  </si>
  <si>
    <t>AAPL210219C00142000</t>
  </si>
  <si>
    <t>-32.26%</t>
  </si>
  <si>
    <t>5,894</t>
  </si>
  <si>
    <t>AAPL210219C00138000</t>
  </si>
  <si>
    <t>14,630</t>
  </si>
  <si>
    <t>AAPL210219C00134000</t>
  </si>
  <si>
    <t>-7.14%</t>
  </si>
  <si>
    <t>26,230</t>
  </si>
  <si>
    <t>AAPL210219C00139000</t>
  </si>
  <si>
    <t>-27.94%</t>
  </si>
  <si>
    <t>8,018</t>
  </si>
  <si>
    <t>AAPL210219C00230000</t>
  </si>
  <si>
    <t>2021-02-12 2:59PM EST</t>
  </si>
  <si>
    <t>AAPL210219C00143000</t>
  </si>
  <si>
    <t>-23.81%</t>
  </si>
  <si>
    <t>10,273</t>
  </si>
  <si>
    <t>AAPL210219C00200000</t>
  </si>
  <si>
    <t>2021-02-12 12:15PM EST</t>
  </si>
  <si>
    <t>AAPL210219C00132000</t>
  </si>
  <si>
    <t>-2.44%</t>
  </si>
  <si>
    <t>1,872</t>
  </si>
  <si>
    <t>AAPL210219C00141000</t>
  </si>
  <si>
    <t>-27.03%</t>
  </si>
  <si>
    <t>7,766</t>
  </si>
  <si>
    <t>AAPL210219C00144000</t>
  </si>
  <si>
    <t>-23.53%</t>
  </si>
  <si>
    <t>7,467</t>
  </si>
  <si>
    <t>AAPL210219C00175000</t>
  </si>
  <si>
    <t>2021-02-12 3:02PM EST</t>
  </si>
  <si>
    <t>500</t>
  </si>
  <si>
    <t>AAPL210219C00146000</t>
  </si>
  <si>
    <t>1,192</t>
  </si>
  <si>
    <t>AAPL210219C00152500</t>
  </si>
  <si>
    <t>746</t>
  </si>
  <si>
    <t>AAPL210219C00148000</t>
  </si>
  <si>
    <t>-11.11%</t>
  </si>
  <si>
    <t>820</t>
  </si>
  <si>
    <t>AAPL210219C00149000</t>
  </si>
  <si>
    <t>2,213</t>
  </si>
  <si>
    <t>AAPL210219C00147000</t>
  </si>
  <si>
    <t>1,137</t>
  </si>
  <si>
    <t>AAPL210219C00133000</t>
  </si>
  <si>
    <t>-2.11%</t>
  </si>
  <si>
    <t>5,399</t>
  </si>
  <si>
    <t>AAPL210219C00190000</t>
  </si>
  <si>
    <t>2021-02-10 3:56PM EST</t>
  </si>
  <si>
    <t>-66.67%</t>
  </si>
  <si>
    <t>AAPL210219C00115000</t>
  </si>
  <si>
    <t>+2.49%</t>
  </si>
  <si>
    <t>AAPL210219C00131000</t>
  </si>
  <si>
    <t>+1.89%</t>
  </si>
  <si>
    <t>712</t>
  </si>
  <si>
    <t>AAPL210219C00110000</t>
  </si>
  <si>
    <t>2021-02-12 3:37PM EST</t>
  </si>
  <si>
    <t>+0.40%</t>
  </si>
  <si>
    <t>103</t>
  </si>
  <si>
    <t>AAPL210219C00129000</t>
  </si>
  <si>
    <t>+3.12%</t>
  </si>
  <si>
    <t>4,346</t>
  </si>
  <si>
    <t>AAPL210219C00100000</t>
  </si>
  <si>
    <t>+1.72%</t>
  </si>
  <si>
    <t>AAPL210219C00185000</t>
  </si>
  <si>
    <t>2021-02-12 9:30AM EST</t>
  </si>
  <si>
    <t>AAPL210219C00195000</t>
  </si>
  <si>
    <t>2021-02-12 12:36PM EST</t>
  </si>
  <si>
    <t>AAPL210219C00127000</t>
  </si>
  <si>
    <t>+2.01%</t>
  </si>
  <si>
    <t>137</t>
  </si>
  <si>
    <t>AAPL210219C00128000</t>
  </si>
  <si>
    <t>+5.50%</t>
  </si>
  <si>
    <t>438</t>
  </si>
  <si>
    <t>AAPL210219C00210000</t>
  </si>
  <si>
    <t>2021-02-08 9:30AM EST</t>
  </si>
  <si>
    <t>11</t>
  </si>
  <si>
    <t>AAPL210219C00157500</t>
  </si>
  <si>
    <t>2021-02-12 3:43PM EST</t>
  </si>
  <si>
    <t>AAPL210219C00215000</t>
  </si>
  <si>
    <t>2021-02-08 2:09PM EST</t>
  </si>
  <si>
    <t>AAPL210219C00205000</t>
  </si>
  <si>
    <t>2021-02-11 2:20PM EST</t>
  </si>
  <si>
    <t>AAPL210219C00225000</t>
  </si>
  <si>
    <t>2021-02-05 10:03AM EST</t>
  </si>
  <si>
    <t>44</t>
  </si>
  <si>
    <t>AAPL210219C00090000</t>
  </si>
  <si>
    <t>-3.17%</t>
  </si>
  <si>
    <t>AAPL210219C00126000</t>
  </si>
  <si>
    <t>+2.14%</t>
  </si>
  <si>
    <t>221</t>
  </si>
  <si>
    <t>AAPL210219C00220000</t>
  </si>
  <si>
    <t>2021-02-05 9:44AM EST</t>
  </si>
  <si>
    <t>3</t>
  </si>
  <si>
    <t>AAPL210219C00121000</t>
  </si>
  <si>
    <t>-0.70%</t>
  </si>
  <si>
    <t>28</t>
  </si>
  <si>
    <t>AAPL210219C00105000</t>
  </si>
  <si>
    <t>-0.83%</t>
  </si>
  <si>
    <t>57</t>
  </si>
  <si>
    <t>AAPL210219C00118000</t>
  </si>
  <si>
    <t>2021-02-12 3:22PM EST</t>
  </si>
  <si>
    <t>-7.15%</t>
  </si>
  <si>
    <t>AAPL210219C00030000</t>
  </si>
  <si>
    <t>2021-02-09 12:30PM EST</t>
  </si>
  <si>
    <t>AAPL210219C00095000</t>
  </si>
  <si>
    <t>2021-02-12 12:06PM EST</t>
  </si>
  <si>
    <t>-3.59%</t>
  </si>
  <si>
    <t>AAPL210219C00060000</t>
  </si>
  <si>
    <t>2021-02-10 10:25AM EST</t>
  </si>
  <si>
    <t>AAPL210219C00119000</t>
  </si>
  <si>
    <t>2021-02-12 11:06AM EST</t>
  </si>
  <si>
    <t>+1.30%</t>
  </si>
  <si>
    <t>AAPL210219C00117000</t>
  </si>
  <si>
    <t>+0.82%</t>
  </si>
  <si>
    <t>AAPL210219C00122000</t>
  </si>
  <si>
    <t>+6.77%</t>
  </si>
  <si>
    <t>29</t>
  </si>
  <si>
    <t>AAPL210219C00123000</t>
  </si>
  <si>
    <t>2021-02-12 2:00PM EST</t>
  </si>
  <si>
    <t>+1.52%</t>
  </si>
  <si>
    <t>22</t>
  </si>
  <si>
    <t>AAPL210219C00124000</t>
  </si>
  <si>
    <t>+2.76%</t>
  </si>
  <si>
    <t>AAPL210219C00080000</t>
  </si>
  <si>
    <t>AAPL210219C00085000</t>
  </si>
  <si>
    <t>+0.24%</t>
  </si>
  <si>
    <t>AAPL210219C00055000</t>
  </si>
  <si>
    <t>2021-02-09 10:42AM EST</t>
  </si>
  <si>
    <t>AAPL210219C00116000</t>
  </si>
  <si>
    <t>2021-02-10 12:39PM EST</t>
  </si>
  <si>
    <t>-3.83%</t>
  </si>
  <si>
    <t>AAPL210219C00114000</t>
  </si>
  <si>
    <t>2021-02-12 11:14AM EST</t>
  </si>
  <si>
    <t>-2.61%</t>
  </si>
  <si>
    <t>AAPL210219C00025000</t>
  </si>
  <si>
    <t>+0.47%</t>
  </si>
  <si>
    <t>AAPL210219C00113000</t>
  </si>
  <si>
    <t>2021-02-11 3:02PM EST</t>
  </si>
  <si>
    <t>AAPL210219C00070000</t>
  </si>
  <si>
    <t>2021-02-04 3:37PM EST</t>
  </si>
  <si>
    <t>231</t>
  </si>
  <si>
    <t>AAPL210219C00075000</t>
  </si>
  <si>
    <t>2021-02-11 11:37AM EST</t>
  </si>
  <si>
    <t>AAPL210219C00112000</t>
  </si>
  <si>
    <t>-0.17%</t>
  </si>
  <si>
    <t>AAPL210219C00108000</t>
  </si>
  <si>
    <t>2021-02-12 12:32PM EST</t>
  </si>
  <si>
    <t>-6.80%</t>
  </si>
  <si>
    <t>AAPL210219C00109000</t>
  </si>
  <si>
    <t>2021-02-03 10:08AM EST</t>
  </si>
  <si>
    <t>AAPL210219C00111000</t>
  </si>
  <si>
    <t>2021-02-11 3:28PM EST</t>
  </si>
  <si>
    <t>-3.74%</t>
  </si>
  <si>
    <t>AAPL210219C00040000</t>
  </si>
  <si>
    <t>2021-02-11 11:20AM EST</t>
  </si>
  <si>
    <t>AAPL210219C00035000</t>
  </si>
  <si>
    <t>2021-01-26 1:43PM EST</t>
  </si>
  <si>
    <t>AAPL210219C00107000</t>
  </si>
  <si>
    <t>2021-02-12 11:32AM EST</t>
  </si>
  <si>
    <t>+1.73%</t>
  </si>
  <si>
    <t>AAPL210219C00102000</t>
  </si>
  <si>
    <t>2021-02-12 12:01PM EST</t>
  </si>
  <si>
    <t>-1.58%</t>
  </si>
  <si>
    <t>AAPL210219C00106000</t>
  </si>
  <si>
    <t>2021-02-09 3:02PM EST</t>
  </si>
  <si>
    <t>AAPL210219C00101000</t>
  </si>
  <si>
    <t>2021-02-08 11:07AM EST</t>
  </si>
  <si>
    <t>AAPL210219C00104000</t>
  </si>
  <si>
    <t>2021-02-04 11:06AM EST</t>
  </si>
  <si>
    <t>AAPL210219C00103000</t>
  </si>
  <si>
    <t>2021-02-03 10:30AM EST</t>
  </si>
  <si>
    <t>+1.69%</t>
  </si>
  <si>
    <t>AAPL210219C00065000</t>
  </si>
  <si>
    <t>2021-02-04 2:58PM EST</t>
  </si>
  <si>
    <t>-3.68%</t>
  </si>
  <si>
    <t>AAPL210219C00050000</t>
  </si>
  <si>
    <t>2021-02-04 12:21PM EST</t>
  </si>
  <si>
    <t>AAPL210219C00045000</t>
  </si>
  <si>
    <t>2021-02-04 9:48AM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</si>
</sst>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.00000_);_(* \(#,##0.00000\);_(* &quot;-&quot;??_);_(@_)"/>
    <numFmt numFmtId="166" formatCode="0.000%"/>
    <numFmt numFmtId="167" formatCode="_(&quot;$&quot;* #,##0.000_);_(&quot;$&quot;* \(#,##0.000\);_(&quot;$&quot;* &quot;-&quot;??_);_(@_)"/>
    <numFmt numFmtId="168" formatCode="0.000"/>
    <numFmt numFmtId="169" formatCode="_(* #,##0.000_);_(* \(#,##0.000\);_(* &quot;-&quot;??_);_(@_)"/>
    <numFmt numFmtId="170" formatCode="0.00000"/>
    <numFmt numFmtId="171" formatCode="_(&quot;$&quot;* #,##0.0_);_(&quot;$&quot;* \(#,##0.0\);_(&quot;$&quot;* &quot;-&quot;??_);_(@_)"/>
    <numFmt numFmtId="172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1"/>
      <color theme="4" tint="0.39997558519241921"/>
      <name val="Segoe UI"/>
      <family val="2"/>
    </font>
    <font>
      <b/>
      <sz val="11"/>
      <color theme="4" tint="-0.499984740745262"/>
      <name val="Segoe UI"/>
      <family val="2"/>
    </font>
    <font>
      <b/>
      <u/>
      <sz val="10"/>
      <color theme="4" tint="-0.499984740745262"/>
      <name val="Segoe UI"/>
      <family val="2"/>
    </font>
    <font>
      <b/>
      <sz val="9"/>
      <color theme="4" tint="-0.249977111117893"/>
      <name val="Segoe UI"/>
      <family val="2"/>
    </font>
    <font>
      <sz val="9"/>
      <color theme="1"/>
      <name val="Segoe UI"/>
      <family val="2"/>
    </font>
    <font>
      <sz val="9"/>
      <color theme="4" tint="-0.249977111117893"/>
      <name val="Segoe UI"/>
      <family val="2"/>
    </font>
    <font>
      <sz val="9"/>
      <color rgb="FFFF0000"/>
      <name val="Segoe UI"/>
      <family val="2"/>
    </font>
    <font>
      <sz val="9"/>
      <color rgb="FF00B050"/>
      <name val="Segoe UI"/>
      <family val="2"/>
    </font>
    <font>
      <sz val="9"/>
      <color theme="4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9"/>
      <color theme="0"/>
      <name val="Segoe UI"/>
      <family val="2"/>
    </font>
    <font>
      <sz val="8"/>
      <color theme="1"/>
      <name val="Segoe UI"/>
      <family val="2"/>
    </font>
    <font>
      <b/>
      <sz val="9"/>
      <color theme="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DashDotDot">
        <color indexed="64"/>
      </right>
      <top style="medium">
        <color indexed="64"/>
      </top>
      <bottom/>
      <diagonal/>
    </border>
    <border>
      <left/>
      <right style="mediumDashDotDot">
        <color indexed="64"/>
      </right>
      <top/>
      <bottom/>
      <diagonal/>
    </border>
    <border>
      <left/>
      <right style="mediumDashDotDot">
        <color indexed="64"/>
      </right>
      <top/>
      <bottom style="medium">
        <color indexed="64"/>
      </bottom>
      <diagonal/>
    </border>
    <border>
      <left style="mediumDashDotDot">
        <color indexed="64"/>
      </left>
      <right/>
      <top style="medium">
        <color indexed="64"/>
      </top>
      <bottom/>
      <diagonal/>
    </border>
    <border>
      <left/>
      <right style="mediumDashDot">
        <color indexed="64"/>
      </right>
      <top style="medium">
        <color indexed="64"/>
      </top>
      <bottom/>
      <diagonal/>
    </border>
    <border>
      <left style="mediumDashDotDot">
        <color indexed="64"/>
      </left>
      <right/>
      <top/>
      <bottom/>
      <diagonal/>
    </border>
    <border>
      <left/>
      <right style="mediumDashDot">
        <color indexed="64"/>
      </right>
      <top/>
      <bottom/>
      <diagonal/>
    </border>
    <border>
      <left style="mediumDashDotDot">
        <color indexed="64"/>
      </left>
      <right/>
      <top/>
      <bottom style="medium">
        <color indexed="64"/>
      </bottom>
      <diagonal/>
    </border>
    <border>
      <left/>
      <right style="mediumDashDot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 style="thin">
        <color theme="4" tint="-0.499984740745262"/>
      </left>
      <right/>
      <top style="thin">
        <color theme="4" tint="-0.499984740745262"/>
      </top>
      <bottom/>
      <diagonal/>
    </border>
    <border>
      <left/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/>
      <top/>
      <bottom/>
      <diagonal/>
    </border>
    <border>
      <left/>
      <right style="thin">
        <color theme="4" tint="-0.499984740745262"/>
      </right>
      <top/>
      <bottom/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1">
    <xf numFmtId="0" fontId="0" fillId="0" borderId="0" xfId="0"/>
    <xf numFmtId="14" fontId="0" fillId="0" borderId="0" xfId="0" applyNumberFormat="1"/>
    <xf numFmtId="0" fontId="0" fillId="0" borderId="0" xfId="0" applyNumberForma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0" xfId="0" applyFont="1" applyBorder="1" applyAlignment="1"/>
    <xf numFmtId="0" fontId="5" fillId="0" borderId="0" xfId="0" applyFont="1" applyBorder="1" applyAlignment="1">
      <alignment horizontal="center" vertical="center"/>
    </xf>
    <xf numFmtId="9" fontId="0" fillId="0" borderId="0" xfId="3" applyFont="1"/>
    <xf numFmtId="10" fontId="0" fillId="0" borderId="0" xfId="3" applyNumberFormat="1" applyFont="1"/>
    <xf numFmtId="43" fontId="0" fillId="0" borderId="0" xfId="1" applyFont="1"/>
    <xf numFmtId="14" fontId="0" fillId="0" borderId="9" xfId="0" applyNumberFormat="1" applyBorder="1"/>
    <xf numFmtId="0" fontId="0" fillId="0" borderId="9" xfId="0" applyBorder="1"/>
    <xf numFmtId="10" fontId="0" fillId="0" borderId="9" xfId="3" applyNumberFormat="1" applyFont="1" applyBorder="1"/>
    <xf numFmtId="165" fontId="0" fillId="0" borderId="0" xfId="1" applyNumberFormat="1" applyFont="1"/>
    <xf numFmtId="43" fontId="0" fillId="0" borderId="0" xfId="0" applyNumberFormat="1"/>
    <xf numFmtId="43" fontId="0" fillId="0" borderId="0" xfId="1" applyNumberFormat="1" applyFont="1"/>
    <xf numFmtId="0" fontId="2" fillId="3" borderId="1" xfId="0" applyFont="1" applyFill="1" applyBorder="1"/>
    <xf numFmtId="0" fontId="2" fillId="3" borderId="2" xfId="0" applyFont="1" applyFill="1" applyBorder="1"/>
    <xf numFmtId="14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vertical="center"/>
    </xf>
    <xf numFmtId="0" fontId="2" fillId="3" borderId="3" xfId="0" applyFont="1" applyFill="1" applyBorder="1"/>
    <xf numFmtId="0" fontId="2" fillId="0" borderId="10" xfId="0" applyFont="1" applyBorder="1"/>
    <xf numFmtId="0" fontId="2" fillId="0" borderId="11" xfId="0" applyFont="1" applyBorder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44" fontId="0" fillId="0" borderId="0" xfId="0" applyNumberFormat="1"/>
    <xf numFmtId="1" fontId="0" fillId="0" borderId="0" xfId="0" applyNumberFormat="1"/>
    <xf numFmtId="43" fontId="0" fillId="0" borderId="9" xfId="1" applyFont="1" applyBorder="1"/>
    <xf numFmtId="0" fontId="7" fillId="0" borderId="4" xfId="0" applyFont="1" applyBorder="1"/>
    <xf numFmtId="0" fontId="7" fillId="0" borderId="0" xfId="0" applyFont="1" applyBorder="1"/>
    <xf numFmtId="0" fontId="7" fillId="0" borderId="11" xfId="0" applyFont="1" applyBorder="1"/>
    <xf numFmtId="0" fontId="7" fillId="0" borderId="15" xfId="0" applyFont="1" applyBorder="1"/>
    <xf numFmtId="0" fontId="7" fillId="0" borderId="16" xfId="0" applyFont="1" applyBorder="1"/>
    <xf numFmtId="0" fontId="7" fillId="0" borderId="5" xfId="0" applyFont="1" applyBorder="1"/>
    <xf numFmtId="0" fontId="7" fillId="0" borderId="0" xfId="0" applyFont="1" applyBorder="1" applyAlignment="1">
      <alignment horizontal="right"/>
    </xf>
    <xf numFmtId="0" fontId="7" fillId="0" borderId="0" xfId="0" applyFont="1" applyBorder="1" applyAlignment="1"/>
    <xf numFmtId="0" fontId="7" fillId="0" borderId="6" xfId="0" applyFont="1" applyBorder="1"/>
    <xf numFmtId="0" fontId="7" fillId="0" borderId="7" xfId="0" applyFont="1" applyBorder="1" applyAlignment="1"/>
    <xf numFmtId="0" fontId="7" fillId="0" borderId="7" xfId="0" applyFont="1" applyBorder="1"/>
    <xf numFmtId="0" fontId="7" fillId="0" borderId="12" xfId="0" applyFont="1" applyBorder="1"/>
    <xf numFmtId="0" fontId="7" fillId="0" borderId="17" xfId="0" applyFont="1" applyBorder="1"/>
    <xf numFmtId="0" fontId="7" fillId="0" borderId="18" xfId="0" applyFont="1" applyBorder="1"/>
    <xf numFmtId="0" fontId="7" fillId="0" borderId="8" xfId="0" applyFont="1" applyBorder="1"/>
    <xf numFmtId="1" fontId="7" fillId="0" borderId="0" xfId="0" applyNumberFormat="1" applyFont="1" applyBorder="1" applyAlignment="1"/>
    <xf numFmtId="0" fontId="7" fillId="0" borderId="1" xfId="0" applyFont="1" applyBorder="1"/>
    <xf numFmtId="0" fontId="7" fillId="0" borderId="2" xfId="0" applyFont="1" applyBorder="1" applyAlignment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 applyAlignment="1"/>
    <xf numFmtId="0" fontId="7" fillId="0" borderId="5" xfId="0" applyFont="1" applyBorder="1" applyAlignment="1"/>
    <xf numFmtId="0" fontId="7" fillId="0" borderId="14" xfId="0" applyFont="1" applyBorder="1"/>
    <xf numFmtId="0" fontId="7" fillId="0" borderId="16" xfId="0" applyFont="1" applyBorder="1" applyAlignment="1"/>
    <xf numFmtId="0" fontId="15" fillId="0" borderId="0" xfId="0" applyFont="1" applyBorder="1"/>
    <xf numFmtId="0" fontId="5" fillId="0" borderId="20" xfId="0" applyFont="1" applyBorder="1" applyAlignment="1">
      <alignment horizontal="center" vertical="center"/>
    </xf>
    <xf numFmtId="166" fontId="0" fillId="0" borderId="0" xfId="3" applyNumberFormat="1" applyFont="1"/>
    <xf numFmtId="170" fontId="0" fillId="0" borderId="0" xfId="0" applyNumberFormat="1"/>
    <xf numFmtId="166" fontId="0" fillId="0" borderId="0" xfId="0" applyNumberFormat="1"/>
    <xf numFmtId="169" fontId="0" fillId="0" borderId="0" xfId="1" applyNumberFormat="1" applyFont="1"/>
    <xf numFmtId="22" fontId="0" fillId="0" borderId="0" xfId="0" applyNumberFormat="1"/>
    <xf numFmtId="44" fontId="0" fillId="0" borderId="0" xfId="2" applyNumberFormat="1" applyFont="1"/>
    <xf numFmtId="0" fontId="16" fillId="0" borderId="0" xfId="0" applyFont="1" applyBorder="1" applyAlignment="1">
      <alignment vertical="top"/>
    </xf>
    <xf numFmtId="171" fontId="0" fillId="0" borderId="0" xfId="2" applyNumberFormat="1" applyFont="1"/>
    <xf numFmtId="172" fontId="0" fillId="0" borderId="0" xfId="1" applyNumberFormat="1" applyFont="1"/>
    <xf numFmtId="169" fontId="0" fillId="0" borderId="0" xfId="0" applyNumberFormat="1"/>
    <xf numFmtId="0" fontId="7" fillId="5" borderId="22" xfId="0" applyFont="1" applyFill="1" applyBorder="1"/>
    <xf numFmtId="0" fontId="7" fillId="5" borderId="23" xfId="0" applyFont="1" applyFill="1" applyBorder="1"/>
    <xf numFmtId="0" fontId="7" fillId="5" borderId="24" xfId="0" applyFont="1" applyFill="1" applyBorder="1"/>
    <xf numFmtId="0" fontId="7" fillId="5" borderId="25" xfId="0" applyFont="1" applyFill="1" applyBorder="1"/>
    <xf numFmtId="0" fontId="7" fillId="5" borderId="26" xfId="0" applyFont="1" applyFill="1" applyBorder="1"/>
    <xf numFmtId="0" fontId="7" fillId="5" borderId="0" xfId="0" applyFont="1" applyFill="1" applyBorder="1"/>
    <xf numFmtId="0" fontId="7" fillId="5" borderId="27" xfId="0" applyFont="1" applyFill="1" applyBorder="1"/>
    <xf numFmtId="0" fontId="7" fillId="5" borderId="28" xfId="0" applyFont="1" applyFill="1" applyBorder="1"/>
    <xf numFmtId="0" fontId="7" fillId="5" borderId="29" xfId="0" applyFont="1" applyFill="1" applyBorder="1"/>
    <xf numFmtId="0" fontId="5" fillId="0" borderId="0" xfId="0" applyFont="1" applyBorder="1" applyAlignment="1">
      <alignment horizontal="center" vertical="center"/>
    </xf>
    <xf numFmtId="44" fontId="7" fillId="0" borderId="21" xfId="0" applyNumberFormat="1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8" fillId="0" borderId="0" xfId="0" applyFont="1" applyBorder="1" applyAlignment="1">
      <alignment horizontal="left"/>
    </xf>
    <xf numFmtId="44" fontId="7" fillId="0" borderId="0" xfId="2" applyNumberFormat="1" applyFont="1" applyBorder="1" applyAlignment="1">
      <alignment horizontal="center"/>
    </xf>
    <xf numFmtId="44" fontId="7" fillId="0" borderId="20" xfId="2" applyNumberFormat="1" applyFont="1" applyBorder="1" applyAlignment="1">
      <alignment horizontal="center"/>
    </xf>
    <xf numFmtId="44" fontId="7" fillId="4" borderId="20" xfId="2" applyNumberFormat="1" applyFont="1" applyFill="1" applyBorder="1" applyAlignment="1">
      <alignment horizontal="center"/>
    </xf>
    <xf numFmtId="44" fontId="7" fillId="4" borderId="0" xfId="2" applyNumberFormat="1" applyFont="1" applyFill="1" applyBorder="1" applyAlignment="1">
      <alignment horizontal="center"/>
    </xf>
    <xf numFmtId="44" fontId="17" fillId="4" borderId="0" xfId="2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right" vertical="top"/>
    </xf>
    <xf numFmtId="2" fontId="16" fillId="0" borderId="0" xfId="0" applyNumberFormat="1" applyFont="1" applyBorder="1" applyAlignment="1">
      <alignment horizontal="center" vertical="top"/>
    </xf>
    <xf numFmtId="168" fontId="16" fillId="0" borderId="0" xfId="0" applyNumberFormat="1" applyFont="1" applyBorder="1" applyAlignment="1">
      <alignment horizontal="center" vertical="top"/>
    </xf>
    <xf numFmtId="0" fontId="6" fillId="5" borderId="0" xfId="0" applyFont="1" applyFill="1" applyBorder="1" applyAlignment="1">
      <alignment horizontal="center"/>
    </xf>
    <xf numFmtId="167" fontId="8" fillId="0" borderId="21" xfId="2" applyNumberFormat="1" applyFont="1" applyBorder="1" applyAlignment="1">
      <alignment horizontal="center"/>
    </xf>
    <xf numFmtId="167" fontId="6" fillId="4" borderId="21" xfId="2" applyNumberFormat="1" applyFont="1" applyFill="1" applyBorder="1" applyAlignment="1">
      <alignment horizontal="center"/>
    </xf>
    <xf numFmtId="10" fontId="8" fillId="0" borderId="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0" fontId="6" fillId="4" borderId="0" xfId="0" applyNumberFormat="1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10" fontId="8" fillId="0" borderId="20" xfId="0" applyNumberFormat="1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5" borderId="0" xfId="0" applyFont="1" applyFill="1" applyBorder="1" applyAlignment="1">
      <alignment horizontal="right"/>
    </xf>
    <xf numFmtId="167" fontId="7" fillId="5" borderId="0" xfId="2" applyNumberFormat="1" applyFont="1" applyFill="1" applyBorder="1" applyAlignment="1">
      <alignment horizontal="right"/>
    </xf>
    <xf numFmtId="10" fontId="7" fillId="5" borderId="0" xfId="2" applyNumberFormat="1" applyFont="1" applyFill="1" applyBorder="1" applyAlignment="1">
      <alignment horizontal="right"/>
    </xf>
    <xf numFmtId="44" fontId="7" fillId="5" borderId="0" xfId="2" applyFont="1" applyFill="1" applyBorder="1" applyAlignment="1">
      <alignment horizontal="right"/>
    </xf>
    <xf numFmtId="169" fontId="7" fillId="5" borderId="0" xfId="1" applyNumberFormat="1" applyFont="1" applyFill="1" applyBorder="1" applyAlignment="1">
      <alignment horizontal="right"/>
    </xf>
    <xf numFmtId="1" fontId="7" fillId="0" borderId="0" xfId="0" applyNumberFormat="1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10" fontId="7" fillId="0" borderId="0" xfId="3" applyNumberFormat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43" fontId="7" fillId="0" borderId="0" xfId="1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44" fontId="7" fillId="0" borderId="0" xfId="2" applyFont="1" applyBorder="1" applyAlignment="1">
      <alignment horizontal="right"/>
    </xf>
    <xf numFmtId="44" fontId="7" fillId="0" borderId="0" xfId="2" applyNumberFormat="1" applyFont="1" applyBorder="1" applyAlignment="1">
      <alignment horizontal="right"/>
    </xf>
    <xf numFmtId="0" fontId="3" fillId="3" borderId="2" xfId="0" applyFont="1" applyFill="1" applyBorder="1" applyAlignment="1">
      <alignment horizontal="center" vertical="center"/>
    </xf>
    <xf numFmtId="44" fontId="6" fillId="2" borderId="0" xfId="2" applyNumberFormat="1" applyFont="1" applyFill="1" applyBorder="1" applyAlignment="1">
      <alignment horizontal="right"/>
    </xf>
    <xf numFmtId="1" fontId="6" fillId="2" borderId="0" xfId="0" applyNumberFormat="1" applyFont="1" applyFill="1" applyBorder="1" applyAlignment="1">
      <alignment horizontal="right"/>
    </xf>
    <xf numFmtId="14" fontId="6" fillId="2" borderId="0" xfId="0" applyNumberFormat="1" applyFont="1" applyFill="1" applyBorder="1" applyAlignment="1">
      <alignment horizontal="right"/>
    </xf>
    <xf numFmtId="44" fontId="6" fillId="2" borderId="0" xfId="2" applyFont="1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center" vertical="center"/>
    </xf>
    <xf numFmtId="49" fontId="7" fillId="0" borderId="0" xfId="2" applyNumberFormat="1" applyFont="1" applyBorder="1" applyAlignment="1">
      <alignment horizontal="right"/>
    </xf>
    <xf numFmtId="44" fontId="3" fillId="3" borderId="2" xfId="2" applyFont="1" applyFill="1" applyBorder="1" applyAlignment="1">
      <alignment horizontal="center" vertical="center"/>
    </xf>
    <xf numFmtId="2" fontId="7" fillId="0" borderId="0" xfId="1" applyNumberFormat="1" applyFont="1" applyBorder="1" applyAlignment="1">
      <alignment horizontal="right"/>
    </xf>
    <xf numFmtId="14" fontId="7" fillId="0" borderId="0" xfId="2" applyNumberFormat="1" applyFont="1" applyBorder="1" applyAlignment="1">
      <alignment horizontal="right"/>
    </xf>
    <xf numFmtId="164" fontId="7" fillId="0" borderId="0" xfId="2" applyNumberFormat="1" applyFont="1" applyBorder="1" applyAlignment="1">
      <alignment horizontal="right"/>
    </xf>
    <xf numFmtId="0" fontId="6" fillId="2" borderId="0" xfId="0" applyFont="1" applyFill="1" applyBorder="1" applyAlignment="1">
      <alignment horizontal="right"/>
    </xf>
    <xf numFmtId="166" fontId="7" fillId="0" borderId="0" xfId="3" applyNumberFormat="1" applyFont="1" applyBorder="1" applyAlignment="1">
      <alignment horizontal="right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21021981627296"/>
          <c:y val="7.3041168658698544E-2"/>
          <c:w val="0.81373920056867888"/>
          <c:h val="0.59018309962250726"/>
        </c:manualLayout>
      </c:layout>
      <c:scatterChart>
        <c:scatterStyle val="smoothMarker"/>
        <c:varyColors val="0"/>
        <c:ser>
          <c:idx val="0"/>
          <c:order val="0"/>
          <c:tx>
            <c:v>SPOT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EWMA!$A$2:$A$200</c:f>
              <c:numCache>
                <c:formatCode>m/d/yyyy</c:formatCode>
                <c:ptCount val="199"/>
                <c:pt idx="0">
                  <c:v>44098</c:v>
                </c:pt>
                <c:pt idx="1">
                  <c:v>44099</c:v>
                </c:pt>
                <c:pt idx="2">
                  <c:v>44102</c:v>
                </c:pt>
                <c:pt idx="3">
                  <c:v>44103</c:v>
                </c:pt>
                <c:pt idx="4">
                  <c:v>44104</c:v>
                </c:pt>
                <c:pt idx="5">
                  <c:v>44105</c:v>
                </c:pt>
                <c:pt idx="6">
                  <c:v>44106</c:v>
                </c:pt>
                <c:pt idx="7">
                  <c:v>44109</c:v>
                </c:pt>
                <c:pt idx="8">
                  <c:v>44110</c:v>
                </c:pt>
                <c:pt idx="9">
                  <c:v>44111</c:v>
                </c:pt>
                <c:pt idx="10">
                  <c:v>44112</c:v>
                </c:pt>
                <c:pt idx="11">
                  <c:v>44113</c:v>
                </c:pt>
                <c:pt idx="12">
                  <c:v>44116</c:v>
                </c:pt>
                <c:pt idx="13">
                  <c:v>44117</c:v>
                </c:pt>
                <c:pt idx="14">
                  <c:v>44118</c:v>
                </c:pt>
                <c:pt idx="15">
                  <c:v>44119</c:v>
                </c:pt>
                <c:pt idx="16">
                  <c:v>44120</c:v>
                </c:pt>
                <c:pt idx="17">
                  <c:v>44123</c:v>
                </c:pt>
                <c:pt idx="18">
                  <c:v>44124</c:v>
                </c:pt>
                <c:pt idx="19">
                  <c:v>44125</c:v>
                </c:pt>
                <c:pt idx="20">
                  <c:v>44126</c:v>
                </c:pt>
                <c:pt idx="21">
                  <c:v>44127</c:v>
                </c:pt>
                <c:pt idx="22">
                  <c:v>44130</c:v>
                </c:pt>
                <c:pt idx="23">
                  <c:v>44131</c:v>
                </c:pt>
                <c:pt idx="24">
                  <c:v>44132</c:v>
                </c:pt>
                <c:pt idx="25">
                  <c:v>44133</c:v>
                </c:pt>
                <c:pt idx="26">
                  <c:v>44134</c:v>
                </c:pt>
                <c:pt idx="27">
                  <c:v>44137</c:v>
                </c:pt>
                <c:pt idx="28">
                  <c:v>44138</c:v>
                </c:pt>
                <c:pt idx="29">
                  <c:v>44139</c:v>
                </c:pt>
                <c:pt idx="30">
                  <c:v>44140</c:v>
                </c:pt>
                <c:pt idx="31">
                  <c:v>44141</c:v>
                </c:pt>
                <c:pt idx="32">
                  <c:v>44144</c:v>
                </c:pt>
                <c:pt idx="33">
                  <c:v>44145</c:v>
                </c:pt>
                <c:pt idx="34">
                  <c:v>44146</c:v>
                </c:pt>
                <c:pt idx="35">
                  <c:v>44147</c:v>
                </c:pt>
                <c:pt idx="36">
                  <c:v>44148</c:v>
                </c:pt>
                <c:pt idx="37">
                  <c:v>44151</c:v>
                </c:pt>
                <c:pt idx="38">
                  <c:v>44152</c:v>
                </c:pt>
                <c:pt idx="39">
                  <c:v>44153</c:v>
                </c:pt>
                <c:pt idx="40">
                  <c:v>44154</c:v>
                </c:pt>
                <c:pt idx="41">
                  <c:v>44155</c:v>
                </c:pt>
                <c:pt idx="42">
                  <c:v>44158</c:v>
                </c:pt>
                <c:pt idx="43">
                  <c:v>44159</c:v>
                </c:pt>
                <c:pt idx="44">
                  <c:v>44160</c:v>
                </c:pt>
                <c:pt idx="45">
                  <c:v>44162</c:v>
                </c:pt>
                <c:pt idx="46">
                  <c:v>44165</c:v>
                </c:pt>
                <c:pt idx="47">
                  <c:v>44166</c:v>
                </c:pt>
                <c:pt idx="48">
                  <c:v>44167</c:v>
                </c:pt>
                <c:pt idx="49">
                  <c:v>44168</c:v>
                </c:pt>
                <c:pt idx="50">
                  <c:v>44169</c:v>
                </c:pt>
                <c:pt idx="51">
                  <c:v>44172</c:v>
                </c:pt>
                <c:pt idx="52">
                  <c:v>44173</c:v>
                </c:pt>
                <c:pt idx="53">
                  <c:v>44174</c:v>
                </c:pt>
                <c:pt idx="54">
                  <c:v>44175</c:v>
                </c:pt>
                <c:pt idx="55">
                  <c:v>44176</c:v>
                </c:pt>
                <c:pt idx="56">
                  <c:v>44179</c:v>
                </c:pt>
                <c:pt idx="57">
                  <c:v>44180</c:v>
                </c:pt>
                <c:pt idx="58">
                  <c:v>44181</c:v>
                </c:pt>
                <c:pt idx="59">
                  <c:v>44182</c:v>
                </c:pt>
                <c:pt idx="60">
                  <c:v>44183</c:v>
                </c:pt>
                <c:pt idx="61">
                  <c:v>44186</c:v>
                </c:pt>
                <c:pt idx="62">
                  <c:v>44187</c:v>
                </c:pt>
                <c:pt idx="63">
                  <c:v>44188</c:v>
                </c:pt>
                <c:pt idx="64">
                  <c:v>44189</c:v>
                </c:pt>
                <c:pt idx="65">
                  <c:v>44193</c:v>
                </c:pt>
                <c:pt idx="66">
                  <c:v>44194</c:v>
                </c:pt>
                <c:pt idx="67">
                  <c:v>44195</c:v>
                </c:pt>
                <c:pt idx="68">
                  <c:v>44196</c:v>
                </c:pt>
                <c:pt idx="69">
                  <c:v>44200</c:v>
                </c:pt>
                <c:pt idx="70">
                  <c:v>44201</c:v>
                </c:pt>
                <c:pt idx="71">
                  <c:v>44202</c:v>
                </c:pt>
                <c:pt idx="72">
                  <c:v>44203</c:v>
                </c:pt>
                <c:pt idx="73">
                  <c:v>44204</c:v>
                </c:pt>
                <c:pt idx="74">
                  <c:v>44207</c:v>
                </c:pt>
                <c:pt idx="75">
                  <c:v>44208</c:v>
                </c:pt>
                <c:pt idx="76">
                  <c:v>44209</c:v>
                </c:pt>
                <c:pt idx="77">
                  <c:v>44210</c:v>
                </c:pt>
                <c:pt idx="78">
                  <c:v>44211</c:v>
                </c:pt>
                <c:pt idx="79">
                  <c:v>44215</c:v>
                </c:pt>
                <c:pt idx="80">
                  <c:v>44216</c:v>
                </c:pt>
                <c:pt idx="81">
                  <c:v>44217</c:v>
                </c:pt>
                <c:pt idx="82">
                  <c:v>44218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44228</c:v>
                </c:pt>
                <c:pt idx="89">
                  <c:v>44229</c:v>
                </c:pt>
                <c:pt idx="90">
                  <c:v>44230</c:v>
                </c:pt>
                <c:pt idx="91">
                  <c:v>44231</c:v>
                </c:pt>
                <c:pt idx="92">
                  <c:v>44232</c:v>
                </c:pt>
                <c:pt idx="93">
                  <c:v>44235</c:v>
                </c:pt>
                <c:pt idx="94">
                  <c:v>44236</c:v>
                </c:pt>
                <c:pt idx="95">
                  <c:v>44237</c:v>
                </c:pt>
                <c:pt idx="96">
                  <c:v>44238</c:v>
                </c:pt>
                <c:pt idx="97">
                  <c:v>44239</c:v>
                </c:pt>
              </c:numCache>
            </c:numRef>
          </c:xVal>
          <c:yVal>
            <c:numRef>
              <c:f>EWMA!$C$2:$C$200</c:f>
              <c:numCache>
                <c:formatCode>_(* #,##0.00_);_(* \(#,##0.00\);_(* "-"??_);_(@_)</c:formatCode>
                <c:ptCount val="199"/>
                <c:pt idx="0">
                  <c:v>108.22</c:v>
                </c:pt>
                <c:pt idx="1">
                  <c:v>112.28</c:v>
                </c:pt>
                <c:pt idx="2">
                  <c:v>114.96</c:v>
                </c:pt>
                <c:pt idx="3">
                  <c:v>114.09</c:v>
                </c:pt>
                <c:pt idx="4">
                  <c:v>115.81</c:v>
                </c:pt>
                <c:pt idx="5">
                  <c:v>116.79</c:v>
                </c:pt>
                <c:pt idx="6">
                  <c:v>113.02</c:v>
                </c:pt>
                <c:pt idx="7">
                  <c:v>116.5</c:v>
                </c:pt>
                <c:pt idx="8">
                  <c:v>113.16</c:v>
                </c:pt>
                <c:pt idx="9">
                  <c:v>115.08</c:v>
                </c:pt>
                <c:pt idx="10">
                  <c:v>114.97</c:v>
                </c:pt>
                <c:pt idx="11">
                  <c:v>116.97</c:v>
                </c:pt>
                <c:pt idx="12">
                  <c:v>124.4</c:v>
                </c:pt>
                <c:pt idx="13">
                  <c:v>121.1</c:v>
                </c:pt>
                <c:pt idx="14">
                  <c:v>121.19</c:v>
                </c:pt>
                <c:pt idx="15">
                  <c:v>120.71</c:v>
                </c:pt>
                <c:pt idx="16">
                  <c:v>119.02</c:v>
                </c:pt>
                <c:pt idx="17">
                  <c:v>115.98</c:v>
                </c:pt>
                <c:pt idx="18">
                  <c:v>117.51</c:v>
                </c:pt>
                <c:pt idx="19">
                  <c:v>116.87</c:v>
                </c:pt>
                <c:pt idx="20">
                  <c:v>115.75</c:v>
                </c:pt>
                <c:pt idx="21">
                  <c:v>115.04</c:v>
                </c:pt>
                <c:pt idx="22">
                  <c:v>115.05</c:v>
                </c:pt>
                <c:pt idx="23">
                  <c:v>116.6</c:v>
                </c:pt>
                <c:pt idx="24">
                  <c:v>111.2</c:v>
                </c:pt>
                <c:pt idx="25">
                  <c:v>115.32</c:v>
                </c:pt>
                <c:pt idx="26">
                  <c:v>108.86</c:v>
                </c:pt>
                <c:pt idx="27">
                  <c:v>108.77</c:v>
                </c:pt>
                <c:pt idx="28">
                  <c:v>110.44</c:v>
                </c:pt>
                <c:pt idx="29">
                  <c:v>114.95</c:v>
                </c:pt>
                <c:pt idx="30">
                  <c:v>119.03</c:v>
                </c:pt>
                <c:pt idx="31">
                  <c:v>118.69</c:v>
                </c:pt>
                <c:pt idx="32">
                  <c:v>116.32</c:v>
                </c:pt>
                <c:pt idx="33">
                  <c:v>115.97</c:v>
                </c:pt>
                <c:pt idx="34">
                  <c:v>119.49</c:v>
                </c:pt>
                <c:pt idx="35">
                  <c:v>119.21</c:v>
                </c:pt>
                <c:pt idx="36">
                  <c:v>119.26</c:v>
                </c:pt>
                <c:pt idx="37">
                  <c:v>120.3</c:v>
                </c:pt>
                <c:pt idx="38">
                  <c:v>119.39</c:v>
                </c:pt>
                <c:pt idx="39">
                  <c:v>118.03</c:v>
                </c:pt>
                <c:pt idx="40">
                  <c:v>118.64</c:v>
                </c:pt>
                <c:pt idx="41">
                  <c:v>117.34</c:v>
                </c:pt>
                <c:pt idx="42">
                  <c:v>113.85</c:v>
                </c:pt>
                <c:pt idx="43">
                  <c:v>115.17</c:v>
                </c:pt>
                <c:pt idx="44">
                  <c:v>116.03</c:v>
                </c:pt>
                <c:pt idx="45">
                  <c:v>116.59</c:v>
                </c:pt>
                <c:pt idx="46">
                  <c:v>119.05</c:v>
                </c:pt>
                <c:pt idx="47">
                  <c:v>122.72</c:v>
                </c:pt>
                <c:pt idx="48">
                  <c:v>123.08</c:v>
                </c:pt>
                <c:pt idx="49">
                  <c:v>122.94</c:v>
                </c:pt>
                <c:pt idx="50">
                  <c:v>122.25</c:v>
                </c:pt>
                <c:pt idx="51">
                  <c:v>123.75</c:v>
                </c:pt>
                <c:pt idx="52">
                  <c:v>124.38</c:v>
                </c:pt>
                <c:pt idx="53">
                  <c:v>121.78</c:v>
                </c:pt>
                <c:pt idx="54">
                  <c:v>123.24</c:v>
                </c:pt>
                <c:pt idx="55">
                  <c:v>122.41</c:v>
                </c:pt>
                <c:pt idx="56">
                  <c:v>121.78</c:v>
                </c:pt>
                <c:pt idx="57">
                  <c:v>127.88</c:v>
                </c:pt>
                <c:pt idx="58">
                  <c:v>127.81</c:v>
                </c:pt>
                <c:pt idx="59">
                  <c:v>128.69999999999999</c:v>
                </c:pt>
                <c:pt idx="60">
                  <c:v>126.66</c:v>
                </c:pt>
                <c:pt idx="61">
                  <c:v>128.22999999999999</c:v>
                </c:pt>
                <c:pt idx="62">
                  <c:v>131.88</c:v>
                </c:pt>
                <c:pt idx="63">
                  <c:v>130.96</c:v>
                </c:pt>
                <c:pt idx="64">
                  <c:v>131.97</c:v>
                </c:pt>
                <c:pt idx="65">
                  <c:v>136.69</c:v>
                </c:pt>
                <c:pt idx="66">
                  <c:v>134.87</c:v>
                </c:pt>
                <c:pt idx="67">
                  <c:v>133.72</c:v>
                </c:pt>
                <c:pt idx="68">
                  <c:v>132.69</c:v>
                </c:pt>
                <c:pt idx="69">
                  <c:v>129.41</c:v>
                </c:pt>
                <c:pt idx="70">
                  <c:v>131.01</c:v>
                </c:pt>
                <c:pt idx="71">
                  <c:v>126.6</c:v>
                </c:pt>
                <c:pt idx="72">
                  <c:v>130.91999999999999</c:v>
                </c:pt>
                <c:pt idx="73">
                  <c:v>132.05000000000001</c:v>
                </c:pt>
                <c:pt idx="74">
                  <c:v>128.97999999999999</c:v>
                </c:pt>
                <c:pt idx="75">
                  <c:v>128.80000000000001</c:v>
                </c:pt>
                <c:pt idx="76">
                  <c:v>130.88999999999999</c:v>
                </c:pt>
                <c:pt idx="77">
                  <c:v>128.91</c:v>
                </c:pt>
                <c:pt idx="78">
                  <c:v>127.14</c:v>
                </c:pt>
                <c:pt idx="79">
                  <c:v>127.83</c:v>
                </c:pt>
                <c:pt idx="80">
                  <c:v>132.03</c:v>
                </c:pt>
                <c:pt idx="81">
                  <c:v>136.87</c:v>
                </c:pt>
                <c:pt idx="82">
                  <c:v>139.07</c:v>
                </c:pt>
                <c:pt idx="83">
                  <c:v>142.91999999999999</c:v>
                </c:pt>
                <c:pt idx="84">
                  <c:v>143.16</c:v>
                </c:pt>
                <c:pt idx="85">
                  <c:v>142.06</c:v>
                </c:pt>
                <c:pt idx="86">
                  <c:v>137.09</c:v>
                </c:pt>
                <c:pt idx="87">
                  <c:v>131.96</c:v>
                </c:pt>
                <c:pt idx="88">
                  <c:v>134.13999999999999</c:v>
                </c:pt>
                <c:pt idx="89">
                  <c:v>134.99</c:v>
                </c:pt>
                <c:pt idx="90">
                  <c:v>133.94</c:v>
                </c:pt>
                <c:pt idx="91">
                  <c:v>137.38999999999999</c:v>
                </c:pt>
                <c:pt idx="92">
                  <c:v>136.76</c:v>
                </c:pt>
                <c:pt idx="93">
                  <c:v>136.91</c:v>
                </c:pt>
                <c:pt idx="94">
                  <c:v>136.01</c:v>
                </c:pt>
                <c:pt idx="95">
                  <c:v>135.38999999999999</c:v>
                </c:pt>
                <c:pt idx="96">
                  <c:v>135.13</c:v>
                </c:pt>
                <c:pt idx="97">
                  <c:v>135.37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44-4260-ABBD-E738E952D5C2}"/>
            </c:ext>
          </c:extLst>
        </c:ser>
        <c:ser>
          <c:idx val="1"/>
          <c:order val="1"/>
          <c:tx>
            <c:v>p2SD</c:v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EWMA!$A$3:$A$200</c:f>
              <c:numCache>
                <c:formatCode>m/d/yyyy</c:formatCode>
                <c:ptCount val="198"/>
                <c:pt idx="0">
                  <c:v>44099</c:v>
                </c:pt>
                <c:pt idx="1">
                  <c:v>44102</c:v>
                </c:pt>
                <c:pt idx="2">
                  <c:v>44103</c:v>
                </c:pt>
                <c:pt idx="3">
                  <c:v>44104</c:v>
                </c:pt>
                <c:pt idx="4">
                  <c:v>44105</c:v>
                </c:pt>
                <c:pt idx="5">
                  <c:v>44106</c:v>
                </c:pt>
                <c:pt idx="6">
                  <c:v>44109</c:v>
                </c:pt>
                <c:pt idx="7">
                  <c:v>44110</c:v>
                </c:pt>
                <c:pt idx="8">
                  <c:v>44111</c:v>
                </c:pt>
                <c:pt idx="9">
                  <c:v>44112</c:v>
                </c:pt>
                <c:pt idx="10">
                  <c:v>44113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44123</c:v>
                </c:pt>
                <c:pt idx="17">
                  <c:v>44124</c:v>
                </c:pt>
                <c:pt idx="18">
                  <c:v>44125</c:v>
                </c:pt>
                <c:pt idx="19">
                  <c:v>44126</c:v>
                </c:pt>
                <c:pt idx="20">
                  <c:v>44127</c:v>
                </c:pt>
                <c:pt idx="21">
                  <c:v>44130</c:v>
                </c:pt>
                <c:pt idx="22">
                  <c:v>44131</c:v>
                </c:pt>
                <c:pt idx="23">
                  <c:v>44132</c:v>
                </c:pt>
                <c:pt idx="24">
                  <c:v>44133</c:v>
                </c:pt>
                <c:pt idx="25">
                  <c:v>44134</c:v>
                </c:pt>
                <c:pt idx="26">
                  <c:v>44137</c:v>
                </c:pt>
                <c:pt idx="27">
                  <c:v>44138</c:v>
                </c:pt>
                <c:pt idx="28">
                  <c:v>44139</c:v>
                </c:pt>
                <c:pt idx="29">
                  <c:v>44140</c:v>
                </c:pt>
                <c:pt idx="30">
                  <c:v>44141</c:v>
                </c:pt>
                <c:pt idx="31">
                  <c:v>44144</c:v>
                </c:pt>
                <c:pt idx="32">
                  <c:v>44145</c:v>
                </c:pt>
                <c:pt idx="33">
                  <c:v>44146</c:v>
                </c:pt>
                <c:pt idx="34">
                  <c:v>44147</c:v>
                </c:pt>
                <c:pt idx="35">
                  <c:v>44148</c:v>
                </c:pt>
                <c:pt idx="36">
                  <c:v>44151</c:v>
                </c:pt>
                <c:pt idx="37">
                  <c:v>44152</c:v>
                </c:pt>
                <c:pt idx="38">
                  <c:v>44153</c:v>
                </c:pt>
                <c:pt idx="39">
                  <c:v>44154</c:v>
                </c:pt>
                <c:pt idx="40">
                  <c:v>44155</c:v>
                </c:pt>
                <c:pt idx="41">
                  <c:v>44158</c:v>
                </c:pt>
                <c:pt idx="42">
                  <c:v>44159</c:v>
                </c:pt>
                <c:pt idx="43">
                  <c:v>44160</c:v>
                </c:pt>
                <c:pt idx="44">
                  <c:v>44162</c:v>
                </c:pt>
                <c:pt idx="45">
                  <c:v>44165</c:v>
                </c:pt>
                <c:pt idx="46">
                  <c:v>44166</c:v>
                </c:pt>
                <c:pt idx="47">
                  <c:v>44167</c:v>
                </c:pt>
                <c:pt idx="48">
                  <c:v>44168</c:v>
                </c:pt>
                <c:pt idx="49">
                  <c:v>44169</c:v>
                </c:pt>
                <c:pt idx="50">
                  <c:v>44172</c:v>
                </c:pt>
                <c:pt idx="51">
                  <c:v>44173</c:v>
                </c:pt>
                <c:pt idx="52">
                  <c:v>44174</c:v>
                </c:pt>
                <c:pt idx="53">
                  <c:v>44175</c:v>
                </c:pt>
                <c:pt idx="54">
                  <c:v>44176</c:v>
                </c:pt>
                <c:pt idx="55">
                  <c:v>44179</c:v>
                </c:pt>
                <c:pt idx="56">
                  <c:v>44180</c:v>
                </c:pt>
                <c:pt idx="57">
                  <c:v>44181</c:v>
                </c:pt>
                <c:pt idx="58">
                  <c:v>44182</c:v>
                </c:pt>
                <c:pt idx="59">
                  <c:v>44183</c:v>
                </c:pt>
                <c:pt idx="60">
                  <c:v>44186</c:v>
                </c:pt>
                <c:pt idx="61">
                  <c:v>44187</c:v>
                </c:pt>
                <c:pt idx="62">
                  <c:v>44188</c:v>
                </c:pt>
                <c:pt idx="63">
                  <c:v>44189</c:v>
                </c:pt>
                <c:pt idx="64">
                  <c:v>44193</c:v>
                </c:pt>
                <c:pt idx="65">
                  <c:v>44194</c:v>
                </c:pt>
                <c:pt idx="66">
                  <c:v>44195</c:v>
                </c:pt>
                <c:pt idx="67">
                  <c:v>44196</c:v>
                </c:pt>
                <c:pt idx="68">
                  <c:v>44200</c:v>
                </c:pt>
                <c:pt idx="69">
                  <c:v>44201</c:v>
                </c:pt>
                <c:pt idx="70">
                  <c:v>44202</c:v>
                </c:pt>
                <c:pt idx="71">
                  <c:v>44203</c:v>
                </c:pt>
                <c:pt idx="72">
                  <c:v>44204</c:v>
                </c:pt>
                <c:pt idx="73">
                  <c:v>44207</c:v>
                </c:pt>
                <c:pt idx="74">
                  <c:v>44208</c:v>
                </c:pt>
                <c:pt idx="75">
                  <c:v>44209</c:v>
                </c:pt>
                <c:pt idx="76">
                  <c:v>44210</c:v>
                </c:pt>
                <c:pt idx="77">
                  <c:v>44211</c:v>
                </c:pt>
                <c:pt idx="78">
                  <c:v>44215</c:v>
                </c:pt>
                <c:pt idx="79">
                  <c:v>44216</c:v>
                </c:pt>
                <c:pt idx="80">
                  <c:v>44217</c:v>
                </c:pt>
                <c:pt idx="81">
                  <c:v>44218</c:v>
                </c:pt>
                <c:pt idx="82">
                  <c:v>44221</c:v>
                </c:pt>
                <c:pt idx="83">
                  <c:v>44222</c:v>
                </c:pt>
                <c:pt idx="84">
                  <c:v>44223</c:v>
                </c:pt>
                <c:pt idx="85">
                  <c:v>44224</c:v>
                </c:pt>
                <c:pt idx="86">
                  <c:v>44225</c:v>
                </c:pt>
                <c:pt idx="87">
                  <c:v>44228</c:v>
                </c:pt>
                <c:pt idx="88">
                  <c:v>44229</c:v>
                </c:pt>
                <c:pt idx="89">
                  <c:v>44230</c:v>
                </c:pt>
                <c:pt idx="90">
                  <c:v>44231</c:v>
                </c:pt>
                <c:pt idx="91">
                  <c:v>44232</c:v>
                </c:pt>
                <c:pt idx="92">
                  <c:v>44235</c:v>
                </c:pt>
                <c:pt idx="93">
                  <c:v>44236</c:v>
                </c:pt>
                <c:pt idx="94">
                  <c:v>44237</c:v>
                </c:pt>
                <c:pt idx="95">
                  <c:v>44238</c:v>
                </c:pt>
                <c:pt idx="96">
                  <c:v>44239</c:v>
                </c:pt>
              </c:numCache>
            </c:numRef>
          </c:xVal>
          <c:yVal>
            <c:numRef>
              <c:f>EWMA!$H$3:$H$200</c:f>
              <c:numCache>
                <c:formatCode>_(* #,##0.00_);_(* \(#,##0.00\);_(* "-"??_);_(@_)</c:formatCode>
                <c:ptCount val="198"/>
                <c:pt idx="0">
                  <c:v>117.03620129131558</c:v>
                </c:pt>
                <c:pt idx="1">
                  <c:v>120.11690353539848</c:v>
                </c:pt>
                <c:pt idx="2">
                  <c:v>119.22413396726712</c:v>
                </c:pt>
                <c:pt idx="3">
                  <c:v>120.88111926771457</c:v>
                </c:pt>
                <c:pt idx="4">
                  <c:v>121.82160783000667</c:v>
                </c:pt>
                <c:pt idx="5">
                  <c:v>117.76385087672772</c:v>
                </c:pt>
                <c:pt idx="6">
                  <c:v>121.59742184174125</c:v>
                </c:pt>
                <c:pt idx="7">
                  <c:v>118.24632703132261</c:v>
                </c:pt>
                <c:pt idx="8">
                  <c:v>120.35637218004926</c:v>
                </c:pt>
                <c:pt idx="9">
                  <c:v>120.16785524329892</c:v>
                </c:pt>
                <c:pt idx="10">
                  <c:v>122.09746696041883</c:v>
                </c:pt>
                <c:pt idx="11">
                  <c:v>129.7905007474788</c:v>
                </c:pt>
                <c:pt idx="12">
                  <c:v>127.36362656869576</c:v>
                </c:pt>
                <c:pt idx="13">
                  <c:v>127.47345215612067</c:v>
                </c:pt>
                <c:pt idx="14">
                  <c:v>126.77806307341507</c:v>
                </c:pt>
                <c:pt idx="15">
                  <c:v>124.82545111714313</c:v>
                </c:pt>
                <c:pt idx="16">
                  <c:v>121.52302408167651</c:v>
                </c:pt>
                <c:pt idx="17">
                  <c:v>123.1551087291604</c:v>
                </c:pt>
                <c:pt idx="18">
                  <c:v>122.36480199010293</c:v>
                </c:pt>
                <c:pt idx="19">
                  <c:v>121.0354342756267</c:v>
                </c:pt>
                <c:pt idx="20">
                  <c:v>120.16181878544101</c:v>
                </c:pt>
                <c:pt idx="21">
                  <c:v>120.02831253102501</c:v>
                </c:pt>
                <c:pt idx="22">
                  <c:v>121.49168221286753</c:v>
                </c:pt>
                <c:pt idx="23">
                  <c:v>115.78139569738904</c:v>
                </c:pt>
                <c:pt idx="24">
                  <c:v>120.64875122737669</c:v>
                </c:pt>
                <c:pt idx="25">
                  <c:v>114.10875891108294</c:v>
                </c:pt>
                <c:pt idx="26">
                  <c:v>114.71053786928005</c:v>
                </c:pt>
                <c:pt idx="27">
                  <c:v>116.28816583715161</c:v>
                </c:pt>
                <c:pt idx="28">
                  <c:v>120.91360170279444</c:v>
                </c:pt>
                <c:pt idx="29">
                  <c:v>125.45598448487343</c:v>
                </c:pt>
                <c:pt idx="30">
                  <c:v>125.22507229926815</c:v>
                </c:pt>
                <c:pt idx="31">
                  <c:v>122.53160995250259</c:v>
                </c:pt>
                <c:pt idx="32">
                  <c:v>122.08263223513799</c:v>
                </c:pt>
                <c:pt idx="33">
                  <c:v>125.59884693436861</c:v>
                </c:pt>
                <c:pt idx="34">
                  <c:v>125.37150210783227</c:v>
                </c:pt>
                <c:pt idx="35">
                  <c:v>125.23787514817182</c:v>
                </c:pt>
                <c:pt idx="36">
                  <c:v>126.14635886083994</c:v>
                </c:pt>
                <c:pt idx="37">
                  <c:v>125.03825449451753</c:v>
                </c:pt>
                <c:pt idx="38">
                  <c:v>123.46157989977632</c:v>
                </c:pt>
                <c:pt idx="39">
                  <c:v>123.97504590427701</c:v>
                </c:pt>
                <c:pt idx="40">
                  <c:v>122.46441581539224</c:v>
                </c:pt>
                <c:pt idx="41">
                  <c:v>118.70954746396183</c:v>
                </c:pt>
                <c:pt idx="42">
                  <c:v>120.23144501440004</c:v>
                </c:pt>
                <c:pt idx="43">
                  <c:v>121.01713084519176</c:v>
                </c:pt>
                <c:pt idx="44">
                  <c:v>121.46708528623586</c:v>
                </c:pt>
                <c:pt idx="45">
                  <c:v>123.8864379534036</c:v>
                </c:pt>
                <c:pt idx="46">
                  <c:v>127.71399845163361</c:v>
                </c:pt>
                <c:pt idx="47">
                  <c:v>128.26968909621982</c:v>
                </c:pt>
                <c:pt idx="48">
                  <c:v>127.96896242600769</c:v>
                </c:pt>
                <c:pt idx="49">
                  <c:v>127.09887390776119</c:v>
                </c:pt>
                <c:pt idx="50">
                  <c:v>128.52105769723792</c:v>
                </c:pt>
                <c:pt idx="51">
                  <c:v>129.0882722811632</c:v>
                </c:pt>
                <c:pt idx="52">
                  <c:v>126.25967316868588</c:v>
                </c:pt>
                <c:pt idx="53">
                  <c:v>127.81659014777657</c:v>
                </c:pt>
                <c:pt idx="54">
                  <c:v>126.87485433309271</c:v>
                </c:pt>
                <c:pt idx="55">
                  <c:v>126.10538749709166</c:v>
                </c:pt>
                <c:pt idx="56">
                  <c:v>132.29552730149771</c:v>
                </c:pt>
                <c:pt idx="57">
                  <c:v>133.07047605070477</c:v>
                </c:pt>
                <c:pt idx="58">
                  <c:v>133.8358519756828</c:v>
                </c:pt>
                <c:pt idx="59">
                  <c:v>131.57934665520474</c:v>
                </c:pt>
                <c:pt idx="60">
                  <c:v>133.16182101505288</c:v>
                </c:pt>
                <c:pt idx="61">
                  <c:v>136.86167515658633</c:v>
                </c:pt>
                <c:pt idx="62">
                  <c:v>136.08310469931897</c:v>
                </c:pt>
                <c:pt idx="63">
                  <c:v>136.99576207854818</c:v>
                </c:pt>
                <c:pt idx="64">
                  <c:v>141.76308466018833</c:v>
                </c:pt>
                <c:pt idx="65">
                  <c:v>140.24987745722646</c:v>
                </c:pt>
                <c:pt idx="66">
                  <c:v>138.96552854396808</c:v>
                </c:pt>
                <c:pt idx="67">
                  <c:v>137.76716253724655</c:v>
                </c:pt>
                <c:pt idx="68">
                  <c:v>134.23577520236364</c:v>
                </c:pt>
                <c:pt idx="69">
                  <c:v>136.01161807568437</c:v>
                </c:pt>
                <c:pt idx="70">
                  <c:v>131.3475845881905</c:v>
                </c:pt>
                <c:pt idx="71">
                  <c:v>136.16221658591093</c:v>
                </c:pt>
                <c:pt idx="72">
                  <c:v>137.61700143332263</c:v>
                </c:pt>
                <c:pt idx="73">
                  <c:v>134.27981958116786</c:v>
                </c:pt>
                <c:pt idx="74">
                  <c:v>134.14156193987844</c:v>
                </c:pt>
                <c:pt idx="75">
                  <c:v>136.15363372174386</c:v>
                </c:pt>
                <c:pt idx="76">
                  <c:v>134.03785175689811</c:v>
                </c:pt>
                <c:pt idx="77">
                  <c:v>132.1344415058004</c:v>
                </c:pt>
                <c:pt idx="78">
                  <c:v>132.77495776376318</c:v>
                </c:pt>
                <c:pt idx="79">
                  <c:v>136.99419657344217</c:v>
                </c:pt>
                <c:pt idx="80">
                  <c:v>142.30993528330114</c:v>
                </c:pt>
                <c:pt idx="81">
                  <c:v>144.96365941021639</c:v>
                </c:pt>
                <c:pt idx="82">
                  <c:v>148.89749530009283</c:v>
                </c:pt>
                <c:pt idx="83">
                  <c:v>149.2728931473311</c:v>
                </c:pt>
                <c:pt idx="84">
                  <c:v>147.9422901023737</c:v>
                </c:pt>
                <c:pt idx="85">
                  <c:v>142.6178944286263</c:v>
                </c:pt>
                <c:pt idx="86">
                  <c:v>137.60931331442708</c:v>
                </c:pt>
                <c:pt idx="87">
                  <c:v>140.24579452028888</c:v>
                </c:pt>
                <c:pt idx="88">
                  <c:v>141.04504296320104</c:v>
                </c:pt>
                <c:pt idx="89">
                  <c:v>139.77964636236479</c:v>
                </c:pt>
                <c:pt idx="90">
                  <c:v>143.22131554906358</c:v>
                </c:pt>
                <c:pt idx="91">
                  <c:v>142.64002806758555</c:v>
                </c:pt>
                <c:pt idx="92">
                  <c:v>142.62547074474037</c:v>
                </c:pt>
                <c:pt idx="93">
                  <c:v>141.51541204424956</c:v>
                </c:pt>
                <c:pt idx="94">
                  <c:v>140.72134065162805</c:v>
                </c:pt>
                <c:pt idx="95">
                  <c:v>140.29785897977905</c:v>
                </c:pt>
                <c:pt idx="96">
                  <c:v>140.39094255337935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44-4260-ABBD-E738E952D5C2}"/>
            </c:ext>
          </c:extLst>
        </c:ser>
        <c:ser>
          <c:idx val="2"/>
          <c:order val="2"/>
          <c:tx>
            <c:v>m2SD</c:v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EWMA!$A$3:$A$200</c:f>
              <c:numCache>
                <c:formatCode>m/d/yyyy</c:formatCode>
                <c:ptCount val="198"/>
                <c:pt idx="0">
                  <c:v>44099</c:v>
                </c:pt>
                <c:pt idx="1">
                  <c:v>44102</c:v>
                </c:pt>
                <c:pt idx="2">
                  <c:v>44103</c:v>
                </c:pt>
                <c:pt idx="3">
                  <c:v>44104</c:v>
                </c:pt>
                <c:pt idx="4">
                  <c:v>44105</c:v>
                </c:pt>
                <c:pt idx="5">
                  <c:v>44106</c:v>
                </c:pt>
                <c:pt idx="6">
                  <c:v>44109</c:v>
                </c:pt>
                <c:pt idx="7">
                  <c:v>44110</c:v>
                </c:pt>
                <c:pt idx="8">
                  <c:v>44111</c:v>
                </c:pt>
                <c:pt idx="9">
                  <c:v>44112</c:v>
                </c:pt>
                <c:pt idx="10">
                  <c:v>44113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44123</c:v>
                </c:pt>
                <c:pt idx="17">
                  <c:v>44124</c:v>
                </c:pt>
                <c:pt idx="18">
                  <c:v>44125</c:v>
                </c:pt>
                <c:pt idx="19">
                  <c:v>44126</c:v>
                </c:pt>
                <c:pt idx="20">
                  <c:v>44127</c:v>
                </c:pt>
                <c:pt idx="21">
                  <c:v>44130</c:v>
                </c:pt>
                <c:pt idx="22">
                  <c:v>44131</c:v>
                </c:pt>
                <c:pt idx="23">
                  <c:v>44132</c:v>
                </c:pt>
                <c:pt idx="24">
                  <c:v>44133</c:v>
                </c:pt>
                <c:pt idx="25">
                  <c:v>44134</c:v>
                </c:pt>
                <c:pt idx="26">
                  <c:v>44137</c:v>
                </c:pt>
                <c:pt idx="27">
                  <c:v>44138</c:v>
                </c:pt>
                <c:pt idx="28">
                  <c:v>44139</c:v>
                </c:pt>
                <c:pt idx="29">
                  <c:v>44140</c:v>
                </c:pt>
                <c:pt idx="30">
                  <c:v>44141</c:v>
                </c:pt>
                <c:pt idx="31">
                  <c:v>44144</c:v>
                </c:pt>
                <c:pt idx="32">
                  <c:v>44145</c:v>
                </c:pt>
                <c:pt idx="33">
                  <c:v>44146</c:v>
                </c:pt>
                <c:pt idx="34">
                  <c:v>44147</c:v>
                </c:pt>
                <c:pt idx="35">
                  <c:v>44148</c:v>
                </c:pt>
                <c:pt idx="36">
                  <c:v>44151</c:v>
                </c:pt>
                <c:pt idx="37">
                  <c:v>44152</c:v>
                </c:pt>
                <c:pt idx="38">
                  <c:v>44153</c:v>
                </c:pt>
                <c:pt idx="39">
                  <c:v>44154</c:v>
                </c:pt>
                <c:pt idx="40">
                  <c:v>44155</c:v>
                </c:pt>
                <c:pt idx="41">
                  <c:v>44158</c:v>
                </c:pt>
                <c:pt idx="42">
                  <c:v>44159</c:v>
                </c:pt>
                <c:pt idx="43">
                  <c:v>44160</c:v>
                </c:pt>
                <c:pt idx="44">
                  <c:v>44162</c:v>
                </c:pt>
                <c:pt idx="45">
                  <c:v>44165</c:v>
                </c:pt>
                <c:pt idx="46">
                  <c:v>44166</c:v>
                </c:pt>
                <c:pt idx="47">
                  <c:v>44167</c:v>
                </c:pt>
                <c:pt idx="48">
                  <c:v>44168</c:v>
                </c:pt>
                <c:pt idx="49">
                  <c:v>44169</c:v>
                </c:pt>
                <c:pt idx="50">
                  <c:v>44172</c:v>
                </c:pt>
                <c:pt idx="51">
                  <c:v>44173</c:v>
                </c:pt>
                <c:pt idx="52">
                  <c:v>44174</c:v>
                </c:pt>
                <c:pt idx="53">
                  <c:v>44175</c:v>
                </c:pt>
                <c:pt idx="54">
                  <c:v>44176</c:v>
                </c:pt>
                <c:pt idx="55">
                  <c:v>44179</c:v>
                </c:pt>
                <c:pt idx="56">
                  <c:v>44180</c:v>
                </c:pt>
                <c:pt idx="57">
                  <c:v>44181</c:v>
                </c:pt>
                <c:pt idx="58">
                  <c:v>44182</c:v>
                </c:pt>
                <c:pt idx="59">
                  <c:v>44183</c:v>
                </c:pt>
                <c:pt idx="60">
                  <c:v>44186</c:v>
                </c:pt>
                <c:pt idx="61">
                  <c:v>44187</c:v>
                </c:pt>
                <c:pt idx="62">
                  <c:v>44188</c:v>
                </c:pt>
                <c:pt idx="63">
                  <c:v>44189</c:v>
                </c:pt>
                <c:pt idx="64">
                  <c:v>44193</c:v>
                </c:pt>
                <c:pt idx="65">
                  <c:v>44194</c:v>
                </c:pt>
                <c:pt idx="66">
                  <c:v>44195</c:v>
                </c:pt>
                <c:pt idx="67">
                  <c:v>44196</c:v>
                </c:pt>
                <c:pt idx="68">
                  <c:v>44200</c:v>
                </c:pt>
                <c:pt idx="69">
                  <c:v>44201</c:v>
                </c:pt>
                <c:pt idx="70">
                  <c:v>44202</c:v>
                </c:pt>
                <c:pt idx="71">
                  <c:v>44203</c:v>
                </c:pt>
                <c:pt idx="72">
                  <c:v>44204</c:v>
                </c:pt>
                <c:pt idx="73">
                  <c:v>44207</c:v>
                </c:pt>
                <c:pt idx="74">
                  <c:v>44208</c:v>
                </c:pt>
                <c:pt idx="75">
                  <c:v>44209</c:v>
                </c:pt>
                <c:pt idx="76">
                  <c:v>44210</c:v>
                </c:pt>
                <c:pt idx="77">
                  <c:v>44211</c:v>
                </c:pt>
                <c:pt idx="78">
                  <c:v>44215</c:v>
                </c:pt>
                <c:pt idx="79">
                  <c:v>44216</c:v>
                </c:pt>
                <c:pt idx="80">
                  <c:v>44217</c:v>
                </c:pt>
                <c:pt idx="81">
                  <c:v>44218</c:v>
                </c:pt>
                <c:pt idx="82">
                  <c:v>44221</c:v>
                </c:pt>
                <c:pt idx="83">
                  <c:v>44222</c:v>
                </c:pt>
                <c:pt idx="84">
                  <c:v>44223</c:v>
                </c:pt>
                <c:pt idx="85">
                  <c:v>44224</c:v>
                </c:pt>
                <c:pt idx="86">
                  <c:v>44225</c:v>
                </c:pt>
                <c:pt idx="87">
                  <c:v>44228</c:v>
                </c:pt>
                <c:pt idx="88">
                  <c:v>44229</c:v>
                </c:pt>
                <c:pt idx="89">
                  <c:v>44230</c:v>
                </c:pt>
                <c:pt idx="90">
                  <c:v>44231</c:v>
                </c:pt>
                <c:pt idx="91">
                  <c:v>44232</c:v>
                </c:pt>
                <c:pt idx="92">
                  <c:v>44235</c:v>
                </c:pt>
                <c:pt idx="93">
                  <c:v>44236</c:v>
                </c:pt>
                <c:pt idx="94">
                  <c:v>44237</c:v>
                </c:pt>
                <c:pt idx="95">
                  <c:v>44238</c:v>
                </c:pt>
                <c:pt idx="96">
                  <c:v>44239</c:v>
                </c:pt>
              </c:numCache>
            </c:numRef>
          </c:xVal>
          <c:yVal>
            <c:numRef>
              <c:f>EWMA!$G$3:$G$200</c:f>
              <c:numCache>
                <c:formatCode>_(* #,##0.00_);_(* \(#,##0.00\);_(* "-"??_);_(@_)</c:formatCode>
                <c:ptCount val="198"/>
                <c:pt idx="0">
                  <c:v>107.52379870868442</c:v>
                </c:pt>
                <c:pt idx="1">
                  <c:v>109.80309646460151</c:v>
                </c:pt>
                <c:pt idx="2">
                  <c:v>108.95586603273289</c:v>
                </c:pt>
                <c:pt idx="3">
                  <c:v>110.73888073228544</c:v>
                </c:pt>
                <c:pt idx="4">
                  <c:v>111.75839216999334</c:v>
                </c:pt>
                <c:pt idx="5">
                  <c:v>108.27614912327226</c:v>
                </c:pt>
                <c:pt idx="6">
                  <c:v>111.40257815825876</c:v>
                </c:pt>
                <c:pt idx="7">
                  <c:v>108.07367296867739</c:v>
                </c:pt>
                <c:pt idx="8">
                  <c:v>109.80362781995073</c:v>
                </c:pt>
                <c:pt idx="9">
                  <c:v>109.77214475670108</c:v>
                </c:pt>
                <c:pt idx="10">
                  <c:v>111.84253303958118</c:v>
                </c:pt>
                <c:pt idx="11">
                  <c:v>119.00949925252121</c:v>
                </c:pt>
                <c:pt idx="12">
                  <c:v>114.83637343130424</c:v>
                </c:pt>
                <c:pt idx="13">
                  <c:v>114.90654784387931</c:v>
                </c:pt>
                <c:pt idx="14">
                  <c:v>114.64193692658492</c:v>
                </c:pt>
                <c:pt idx="15">
                  <c:v>113.21454888285687</c:v>
                </c:pt>
                <c:pt idx="16">
                  <c:v>110.43697591832348</c:v>
                </c:pt>
                <c:pt idx="17">
                  <c:v>111.86489127083961</c:v>
                </c:pt>
                <c:pt idx="18">
                  <c:v>111.37519800989706</c:v>
                </c:pt>
                <c:pt idx="19">
                  <c:v>110.4645657243733</c:v>
                </c:pt>
                <c:pt idx="20">
                  <c:v>109.91818121455898</c:v>
                </c:pt>
                <c:pt idx="21">
                  <c:v>110.071687468975</c:v>
                </c:pt>
                <c:pt idx="22">
                  <c:v>111.70831778713244</c:v>
                </c:pt>
                <c:pt idx="23">
                  <c:v>106.61860430261098</c:v>
                </c:pt>
                <c:pt idx="24">
                  <c:v>109.99124877262329</c:v>
                </c:pt>
                <c:pt idx="25">
                  <c:v>103.61124108891705</c:v>
                </c:pt>
                <c:pt idx="26">
                  <c:v>102.82946213071995</c:v>
                </c:pt>
                <c:pt idx="27">
                  <c:v>104.59183416284837</c:v>
                </c:pt>
                <c:pt idx="28">
                  <c:v>108.98639829720558</c:v>
                </c:pt>
                <c:pt idx="29">
                  <c:v>112.60401551512659</c:v>
                </c:pt>
                <c:pt idx="30">
                  <c:v>112.15492770073185</c:v>
                </c:pt>
                <c:pt idx="31">
                  <c:v>110.10839004749741</c:v>
                </c:pt>
                <c:pt idx="32">
                  <c:v>109.857367764862</c:v>
                </c:pt>
                <c:pt idx="33">
                  <c:v>113.38115306563139</c:v>
                </c:pt>
                <c:pt idx="34">
                  <c:v>113.04849789216772</c:v>
                </c:pt>
                <c:pt idx="35">
                  <c:v>113.28212485182817</c:v>
                </c:pt>
                <c:pt idx="36">
                  <c:v>114.45364113916006</c:v>
                </c:pt>
                <c:pt idx="37">
                  <c:v>113.74174550548247</c:v>
                </c:pt>
                <c:pt idx="38">
                  <c:v>112.59842010022368</c:v>
                </c:pt>
                <c:pt idx="39">
                  <c:v>113.30495409572299</c:v>
                </c:pt>
                <c:pt idx="40">
                  <c:v>112.21558418460776</c:v>
                </c:pt>
                <c:pt idx="41">
                  <c:v>108.99045253603815</c:v>
                </c:pt>
                <c:pt idx="42">
                  <c:v>110.10855498559997</c:v>
                </c:pt>
                <c:pt idx="43">
                  <c:v>111.04286915480823</c:v>
                </c:pt>
                <c:pt idx="44">
                  <c:v>111.71291471376415</c:v>
                </c:pt>
                <c:pt idx="45">
                  <c:v>114.21356204659639</c:v>
                </c:pt>
                <c:pt idx="46">
                  <c:v>117.7260015483664</c:v>
                </c:pt>
                <c:pt idx="47">
                  <c:v>117.89031090378018</c:v>
                </c:pt>
                <c:pt idx="48">
                  <c:v>117.9110375739923</c:v>
                </c:pt>
                <c:pt idx="49">
                  <c:v>117.40112609223881</c:v>
                </c:pt>
                <c:pt idx="50">
                  <c:v>118.97894230276209</c:v>
                </c:pt>
                <c:pt idx="51">
                  <c:v>119.67172771883676</c:v>
                </c:pt>
                <c:pt idx="52">
                  <c:v>117.30032683131411</c:v>
                </c:pt>
                <c:pt idx="53">
                  <c:v>118.66340985222344</c:v>
                </c:pt>
                <c:pt idx="54">
                  <c:v>117.94514566690728</c:v>
                </c:pt>
                <c:pt idx="55">
                  <c:v>117.45461250290835</c:v>
                </c:pt>
                <c:pt idx="56">
                  <c:v>123.46447269850228</c:v>
                </c:pt>
                <c:pt idx="57">
                  <c:v>122.54952394929522</c:v>
                </c:pt>
                <c:pt idx="58">
                  <c:v>123.56414802431718</c:v>
                </c:pt>
                <c:pt idx="59">
                  <c:v>121.74065334479523</c:v>
                </c:pt>
                <c:pt idx="60">
                  <c:v>123.29817898494709</c:v>
                </c:pt>
                <c:pt idx="61">
                  <c:v>126.89832484341365</c:v>
                </c:pt>
                <c:pt idx="62">
                  <c:v>125.83689530068106</c:v>
                </c:pt>
                <c:pt idx="63">
                  <c:v>126.9442379214518</c:v>
                </c:pt>
                <c:pt idx="64">
                  <c:v>131.61691533981167</c:v>
                </c:pt>
                <c:pt idx="65">
                  <c:v>129.49012254277352</c:v>
                </c:pt>
                <c:pt idx="66">
                  <c:v>128.47447145603192</c:v>
                </c:pt>
                <c:pt idx="67">
                  <c:v>127.61283746275346</c:v>
                </c:pt>
                <c:pt idx="68">
                  <c:v>124.58422479763635</c:v>
                </c:pt>
                <c:pt idx="69">
                  <c:v>126.00838192431561</c:v>
                </c:pt>
                <c:pt idx="70">
                  <c:v>121.85241541180949</c:v>
                </c:pt>
                <c:pt idx="71">
                  <c:v>125.67778341408908</c:v>
                </c:pt>
                <c:pt idx="72">
                  <c:v>126.48299856667741</c:v>
                </c:pt>
                <c:pt idx="73">
                  <c:v>123.68018041883211</c:v>
                </c:pt>
                <c:pt idx="74">
                  <c:v>123.45843806012157</c:v>
                </c:pt>
                <c:pt idx="75">
                  <c:v>125.62636627825614</c:v>
                </c:pt>
                <c:pt idx="76">
                  <c:v>123.78214824310189</c:v>
                </c:pt>
                <c:pt idx="77">
                  <c:v>122.14555849419961</c:v>
                </c:pt>
                <c:pt idx="78">
                  <c:v>122.8850422362368</c:v>
                </c:pt>
                <c:pt idx="79">
                  <c:v>127.06580342655785</c:v>
                </c:pt>
                <c:pt idx="80">
                  <c:v>131.43006471669887</c:v>
                </c:pt>
                <c:pt idx="81">
                  <c:v>133.17634058978359</c:v>
                </c:pt>
                <c:pt idx="82">
                  <c:v>136.94250469990712</c:v>
                </c:pt>
                <c:pt idx="83">
                  <c:v>137.04710685266886</c:v>
                </c:pt>
                <c:pt idx="84">
                  <c:v>136.17770989762627</c:v>
                </c:pt>
                <c:pt idx="85">
                  <c:v>131.56210557137373</c:v>
                </c:pt>
                <c:pt idx="86">
                  <c:v>126.31068668557296</c:v>
                </c:pt>
                <c:pt idx="87">
                  <c:v>128.03420547971109</c:v>
                </c:pt>
                <c:pt idx="88">
                  <c:v>128.93495703679898</c:v>
                </c:pt>
                <c:pt idx="89">
                  <c:v>128.10035363763524</c:v>
                </c:pt>
                <c:pt idx="90">
                  <c:v>131.5586844509364</c:v>
                </c:pt>
                <c:pt idx="91">
                  <c:v>130.87997193241443</c:v>
                </c:pt>
                <c:pt idx="92">
                  <c:v>131.19452925525962</c:v>
                </c:pt>
                <c:pt idx="93">
                  <c:v>130.50458795575042</c:v>
                </c:pt>
                <c:pt idx="94">
                  <c:v>130.05865934837195</c:v>
                </c:pt>
                <c:pt idx="95">
                  <c:v>129.96214102022094</c:v>
                </c:pt>
                <c:pt idx="96">
                  <c:v>130.34905744662069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44-4260-ABBD-E738E952D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28640"/>
        <c:axId val="30912000"/>
      </c:scatterChart>
      <c:valAx>
        <c:axId val="3092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Date (mm/dd)</a:t>
                </a:r>
              </a:p>
            </c:rich>
          </c:tx>
          <c:layout>
            <c:manualLayout>
              <c:xMode val="edge"/>
              <c:yMode val="edge"/>
              <c:x val="0.46797854695246432"/>
              <c:y val="0.764142380608798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12000"/>
        <c:crosses val="autoZero"/>
        <c:crossBetween val="midCat"/>
      </c:valAx>
      <c:valAx>
        <c:axId val="309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Spot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2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084262904636919"/>
          <c:y val="7.3041168658698544E-2"/>
          <c:w val="0.65317284558180222"/>
          <c:h val="0.6844611057084001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Utility!$B$4</c:f>
              <c:strCache>
                <c:ptCount val="1"/>
                <c:pt idx="0">
                  <c:v>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Utility!$E$2:$E$202</c:f>
              <c:numCache>
                <c:formatCode>_(* #,##0.00_);_(* \(#,##0.00\);_(* "-"??_);_(@_)</c:formatCode>
                <c:ptCount val="201"/>
                <c:pt idx="0">
                  <c:v>125.32811489324135</c:v>
                </c:pt>
                <c:pt idx="1">
                  <c:v>125.42853374430894</c:v>
                </c:pt>
                <c:pt idx="2">
                  <c:v>125.52895259537652</c:v>
                </c:pt>
                <c:pt idx="3">
                  <c:v>125.62937144644411</c:v>
                </c:pt>
                <c:pt idx="4">
                  <c:v>125.7297902975117</c:v>
                </c:pt>
                <c:pt idx="5">
                  <c:v>125.83020914857929</c:v>
                </c:pt>
                <c:pt idx="6">
                  <c:v>125.93062799964687</c:v>
                </c:pt>
                <c:pt idx="7">
                  <c:v>126.03104685071446</c:v>
                </c:pt>
                <c:pt idx="8">
                  <c:v>126.13146570178205</c:v>
                </c:pt>
                <c:pt idx="9">
                  <c:v>126.23188455284962</c:v>
                </c:pt>
                <c:pt idx="10">
                  <c:v>126.33230340391721</c:v>
                </c:pt>
                <c:pt idx="11">
                  <c:v>126.4327222549848</c:v>
                </c:pt>
                <c:pt idx="12">
                  <c:v>126.53314110605238</c:v>
                </c:pt>
                <c:pt idx="13">
                  <c:v>126.63355995711997</c:v>
                </c:pt>
                <c:pt idx="14">
                  <c:v>126.73397880818756</c:v>
                </c:pt>
                <c:pt idx="15">
                  <c:v>126.83439765925515</c:v>
                </c:pt>
                <c:pt idx="16">
                  <c:v>126.93481651032273</c:v>
                </c:pt>
                <c:pt idx="17">
                  <c:v>127.03523536139032</c:v>
                </c:pt>
                <c:pt idx="18">
                  <c:v>127.13565421245791</c:v>
                </c:pt>
                <c:pt idx="19">
                  <c:v>127.2360730635255</c:v>
                </c:pt>
                <c:pt idx="20">
                  <c:v>127.33649191459308</c:v>
                </c:pt>
                <c:pt idx="21">
                  <c:v>127.43691076566067</c:v>
                </c:pt>
                <c:pt idx="22">
                  <c:v>127.53732961672826</c:v>
                </c:pt>
                <c:pt idx="23">
                  <c:v>127.63774846779584</c:v>
                </c:pt>
                <c:pt idx="24">
                  <c:v>127.73816731886342</c:v>
                </c:pt>
                <c:pt idx="25">
                  <c:v>127.83858616993101</c:v>
                </c:pt>
                <c:pt idx="26">
                  <c:v>127.93900502099859</c:v>
                </c:pt>
                <c:pt idx="27">
                  <c:v>128.03942387206618</c:v>
                </c:pt>
                <c:pt idx="28">
                  <c:v>128.13984272313377</c:v>
                </c:pt>
                <c:pt idx="29">
                  <c:v>128.24026157420136</c:v>
                </c:pt>
                <c:pt idx="30">
                  <c:v>128.34068042526894</c:v>
                </c:pt>
                <c:pt idx="31">
                  <c:v>128.44109927633653</c:v>
                </c:pt>
                <c:pt idx="32">
                  <c:v>128.54151812740412</c:v>
                </c:pt>
                <c:pt idx="33">
                  <c:v>128.6419369784717</c:v>
                </c:pt>
                <c:pt idx="34">
                  <c:v>128.74235582953929</c:v>
                </c:pt>
                <c:pt idx="35">
                  <c:v>128.84277468060688</c:v>
                </c:pt>
                <c:pt idx="36">
                  <c:v>128.94319353167447</c:v>
                </c:pt>
                <c:pt idx="37">
                  <c:v>129.04361238274205</c:v>
                </c:pt>
                <c:pt idx="38">
                  <c:v>129.14403123380964</c:v>
                </c:pt>
                <c:pt idx="39">
                  <c:v>129.24445008487723</c:v>
                </c:pt>
                <c:pt idx="40">
                  <c:v>129.34486893594482</c:v>
                </c:pt>
                <c:pt idx="41">
                  <c:v>129.4452877870124</c:v>
                </c:pt>
                <c:pt idx="42">
                  <c:v>129.54570663807999</c:v>
                </c:pt>
                <c:pt idx="43">
                  <c:v>129.64612548914758</c:v>
                </c:pt>
                <c:pt idx="44">
                  <c:v>129.74654434021517</c:v>
                </c:pt>
                <c:pt idx="45">
                  <c:v>129.84696319128275</c:v>
                </c:pt>
                <c:pt idx="46">
                  <c:v>129.94738204235034</c:v>
                </c:pt>
                <c:pt idx="47">
                  <c:v>130.04780089341793</c:v>
                </c:pt>
                <c:pt idx="48">
                  <c:v>130.14821974448552</c:v>
                </c:pt>
                <c:pt idx="49">
                  <c:v>130.2486385955531</c:v>
                </c:pt>
                <c:pt idx="50">
                  <c:v>130.34905744662069</c:v>
                </c:pt>
                <c:pt idx="51">
                  <c:v>130.44947629768825</c:v>
                </c:pt>
                <c:pt idx="52">
                  <c:v>130.54989514875584</c:v>
                </c:pt>
                <c:pt idx="53">
                  <c:v>130.65031399982342</c:v>
                </c:pt>
                <c:pt idx="54">
                  <c:v>130.75073285089101</c:v>
                </c:pt>
                <c:pt idx="55">
                  <c:v>130.8511517019586</c:v>
                </c:pt>
                <c:pt idx="56">
                  <c:v>130.95157055302619</c:v>
                </c:pt>
                <c:pt idx="57">
                  <c:v>131.05198940409377</c:v>
                </c:pt>
                <c:pt idx="58">
                  <c:v>131.15240825516136</c:v>
                </c:pt>
                <c:pt idx="59">
                  <c:v>131.25282710622895</c:v>
                </c:pt>
                <c:pt idx="60">
                  <c:v>131.35324595729654</c:v>
                </c:pt>
                <c:pt idx="61">
                  <c:v>131.45366480836412</c:v>
                </c:pt>
                <c:pt idx="62">
                  <c:v>131.55408365943171</c:v>
                </c:pt>
                <c:pt idx="63">
                  <c:v>131.6545025104993</c:v>
                </c:pt>
                <c:pt idx="64">
                  <c:v>131.75492136156689</c:v>
                </c:pt>
                <c:pt idx="65">
                  <c:v>131.85534021263447</c:v>
                </c:pt>
                <c:pt idx="66">
                  <c:v>131.95575906370206</c:v>
                </c:pt>
                <c:pt idx="67">
                  <c:v>132.05617791476965</c:v>
                </c:pt>
                <c:pt idx="68">
                  <c:v>132.15659676583724</c:v>
                </c:pt>
                <c:pt idx="69">
                  <c:v>132.25701561690482</c:v>
                </c:pt>
                <c:pt idx="70">
                  <c:v>132.35743446797241</c:v>
                </c:pt>
                <c:pt idx="71">
                  <c:v>132.45785331904</c:v>
                </c:pt>
                <c:pt idx="72">
                  <c:v>132.55827217010759</c:v>
                </c:pt>
                <c:pt idx="73">
                  <c:v>132.65869102117517</c:v>
                </c:pt>
                <c:pt idx="74">
                  <c:v>132.75910987224276</c:v>
                </c:pt>
                <c:pt idx="75">
                  <c:v>132.85952872331035</c:v>
                </c:pt>
                <c:pt idx="76">
                  <c:v>132.95994757437794</c:v>
                </c:pt>
                <c:pt idx="77">
                  <c:v>133.06036642544552</c:v>
                </c:pt>
                <c:pt idx="78">
                  <c:v>133.16078527651311</c:v>
                </c:pt>
                <c:pt idx="79">
                  <c:v>133.2612041275807</c:v>
                </c:pt>
                <c:pt idx="80">
                  <c:v>133.36162297864828</c:v>
                </c:pt>
                <c:pt idx="81">
                  <c:v>133.46204182971587</c:v>
                </c:pt>
                <c:pt idx="82">
                  <c:v>133.56246068078346</c:v>
                </c:pt>
                <c:pt idx="83">
                  <c:v>133.66287953185105</c:v>
                </c:pt>
                <c:pt idx="84">
                  <c:v>133.76329838291861</c:v>
                </c:pt>
                <c:pt idx="85">
                  <c:v>133.86371723398619</c:v>
                </c:pt>
                <c:pt idx="86">
                  <c:v>133.96413608505378</c:v>
                </c:pt>
                <c:pt idx="87">
                  <c:v>134.06455493612137</c:v>
                </c:pt>
                <c:pt idx="88">
                  <c:v>134.16497378718896</c:v>
                </c:pt>
                <c:pt idx="89">
                  <c:v>134.26539263825654</c:v>
                </c:pt>
                <c:pt idx="90">
                  <c:v>134.36581148932413</c:v>
                </c:pt>
                <c:pt idx="91">
                  <c:v>134.46623034039172</c:v>
                </c:pt>
                <c:pt idx="92">
                  <c:v>134.56664919145931</c:v>
                </c:pt>
                <c:pt idx="93">
                  <c:v>134.66706804252689</c:v>
                </c:pt>
                <c:pt idx="94">
                  <c:v>134.76748689359448</c:v>
                </c:pt>
                <c:pt idx="95">
                  <c:v>134.86790574466207</c:v>
                </c:pt>
                <c:pt idx="96">
                  <c:v>134.96832459572965</c:v>
                </c:pt>
                <c:pt idx="97">
                  <c:v>135.06874344679724</c:v>
                </c:pt>
                <c:pt idx="98">
                  <c:v>135.16916229786483</c:v>
                </c:pt>
                <c:pt idx="99">
                  <c:v>135.26958114893242</c:v>
                </c:pt>
                <c:pt idx="100">
                  <c:v>135.37</c:v>
                </c:pt>
                <c:pt idx="101">
                  <c:v>135.47041885106759</c:v>
                </c:pt>
                <c:pt idx="102">
                  <c:v>135.57083770213518</c:v>
                </c:pt>
                <c:pt idx="103">
                  <c:v>135.67125655320277</c:v>
                </c:pt>
                <c:pt idx="104">
                  <c:v>135.77167540427035</c:v>
                </c:pt>
                <c:pt idx="105">
                  <c:v>135.87209425533794</c:v>
                </c:pt>
                <c:pt idx="106">
                  <c:v>135.97251310640553</c:v>
                </c:pt>
                <c:pt idx="107">
                  <c:v>136.07293195747312</c:v>
                </c:pt>
                <c:pt idx="108">
                  <c:v>136.1733508085407</c:v>
                </c:pt>
                <c:pt idx="109">
                  <c:v>136.27376965960829</c:v>
                </c:pt>
                <c:pt idx="110">
                  <c:v>136.37418851067588</c:v>
                </c:pt>
                <c:pt idx="111">
                  <c:v>136.47460736174347</c:v>
                </c:pt>
                <c:pt idx="112">
                  <c:v>136.57502621281105</c:v>
                </c:pt>
                <c:pt idx="113">
                  <c:v>136.67544506387864</c:v>
                </c:pt>
                <c:pt idx="114">
                  <c:v>136.77586391494623</c:v>
                </c:pt>
                <c:pt idx="115">
                  <c:v>136.87628276601382</c:v>
                </c:pt>
                <c:pt idx="116">
                  <c:v>136.9767016170814</c:v>
                </c:pt>
                <c:pt idx="117">
                  <c:v>137.07712046814896</c:v>
                </c:pt>
                <c:pt idx="118">
                  <c:v>137.17753931921655</c:v>
                </c:pt>
                <c:pt idx="119">
                  <c:v>137.27795817028414</c:v>
                </c:pt>
                <c:pt idx="120">
                  <c:v>137.37837702135172</c:v>
                </c:pt>
                <c:pt idx="121">
                  <c:v>137.47879587241931</c:v>
                </c:pt>
                <c:pt idx="122">
                  <c:v>137.5792147234869</c:v>
                </c:pt>
                <c:pt idx="123">
                  <c:v>137.67963357455449</c:v>
                </c:pt>
                <c:pt idx="124">
                  <c:v>137.78005242562207</c:v>
                </c:pt>
                <c:pt idx="125">
                  <c:v>137.88047127668966</c:v>
                </c:pt>
                <c:pt idx="126">
                  <c:v>137.98089012775725</c:v>
                </c:pt>
                <c:pt idx="127">
                  <c:v>138.08130897882484</c:v>
                </c:pt>
                <c:pt idx="128">
                  <c:v>138.18172782989242</c:v>
                </c:pt>
                <c:pt idx="129">
                  <c:v>138.28214668096001</c:v>
                </c:pt>
                <c:pt idx="130">
                  <c:v>138.3825655320276</c:v>
                </c:pt>
                <c:pt idx="131">
                  <c:v>138.48298438309519</c:v>
                </c:pt>
                <c:pt idx="132">
                  <c:v>138.58340323416277</c:v>
                </c:pt>
                <c:pt idx="133">
                  <c:v>138.68382208523036</c:v>
                </c:pt>
                <c:pt idx="134">
                  <c:v>138.78424093629795</c:v>
                </c:pt>
                <c:pt idx="135">
                  <c:v>138.88465978736554</c:v>
                </c:pt>
                <c:pt idx="136">
                  <c:v>138.98507863843312</c:v>
                </c:pt>
                <c:pt idx="137">
                  <c:v>139.08549748950071</c:v>
                </c:pt>
                <c:pt idx="138">
                  <c:v>139.1859163405683</c:v>
                </c:pt>
                <c:pt idx="139">
                  <c:v>139.28633519163589</c:v>
                </c:pt>
                <c:pt idx="140">
                  <c:v>139.38675404270347</c:v>
                </c:pt>
                <c:pt idx="141">
                  <c:v>139.48717289377106</c:v>
                </c:pt>
                <c:pt idx="142">
                  <c:v>139.58759174483865</c:v>
                </c:pt>
                <c:pt idx="143">
                  <c:v>139.68801059590623</c:v>
                </c:pt>
                <c:pt idx="144">
                  <c:v>139.78842944697382</c:v>
                </c:pt>
                <c:pt idx="145">
                  <c:v>139.88884829804141</c:v>
                </c:pt>
                <c:pt idx="146">
                  <c:v>139.989267149109</c:v>
                </c:pt>
                <c:pt idx="147">
                  <c:v>140.08968600017658</c:v>
                </c:pt>
                <c:pt idx="148">
                  <c:v>140.19010485124417</c:v>
                </c:pt>
                <c:pt idx="149">
                  <c:v>140.29052370231176</c:v>
                </c:pt>
                <c:pt idx="150">
                  <c:v>140.39094255337932</c:v>
                </c:pt>
                <c:pt idx="151">
                  <c:v>140.49136140444691</c:v>
                </c:pt>
                <c:pt idx="152">
                  <c:v>140.59178025551449</c:v>
                </c:pt>
                <c:pt idx="153">
                  <c:v>140.69219910658208</c:v>
                </c:pt>
                <c:pt idx="154">
                  <c:v>140.79261795764967</c:v>
                </c:pt>
                <c:pt idx="155">
                  <c:v>140.89303680871726</c:v>
                </c:pt>
                <c:pt idx="156">
                  <c:v>140.99345565978484</c:v>
                </c:pt>
                <c:pt idx="157">
                  <c:v>141.09387451085243</c:v>
                </c:pt>
                <c:pt idx="158">
                  <c:v>141.19429336192002</c:v>
                </c:pt>
                <c:pt idx="159">
                  <c:v>141.2947122129876</c:v>
                </c:pt>
                <c:pt idx="160">
                  <c:v>141.39513106405519</c:v>
                </c:pt>
                <c:pt idx="161">
                  <c:v>141.49554991512278</c:v>
                </c:pt>
                <c:pt idx="162">
                  <c:v>141.59596876619037</c:v>
                </c:pt>
                <c:pt idx="163">
                  <c:v>141.69638761725795</c:v>
                </c:pt>
                <c:pt idx="164">
                  <c:v>141.79680646832554</c:v>
                </c:pt>
                <c:pt idx="165">
                  <c:v>141.89722531939313</c:v>
                </c:pt>
                <c:pt idx="166">
                  <c:v>141.99764417046072</c:v>
                </c:pt>
                <c:pt idx="167">
                  <c:v>142.0980630215283</c:v>
                </c:pt>
                <c:pt idx="168">
                  <c:v>142.19848187259589</c:v>
                </c:pt>
                <c:pt idx="169">
                  <c:v>142.29890072366348</c:v>
                </c:pt>
                <c:pt idx="170">
                  <c:v>142.39931957473107</c:v>
                </c:pt>
                <c:pt idx="171">
                  <c:v>142.49973842579865</c:v>
                </c:pt>
                <c:pt idx="172">
                  <c:v>142.60015727686624</c:v>
                </c:pt>
                <c:pt idx="173">
                  <c:v>142.70057612793383</c:v>
                </c:pt>
                <c:pt idx="174">
                  <c:v>142.80099497900142</c:v>
                </c:pt>
                <c:pt idx="175">
                  <c:v>142.901413830069</c:v>
                </c:pt>
                <c:pt idx="176">
                  <c:v>143.00183268113659</c:v>
                </c:pt>
                <c:pt idx="177">
                  <c:v>143.10225153220418</c:v>
                </c:pt>
                <c:pt idx="178">
                  <c:v>143.20267038327177</c:v>
                </c:pt>
                <c:pt idx="179">
                  <c:v>143.30308923433935</c:v>
                </c:pt>
                <c:pt idx="180">
                  <c:v>143.40350808540694</c:v>
                </c:pt>
                <c:pt idx="181">
                  <c:v>143.50392693647453</c:v>
                </c:pt>
                <c:pt idx="182">
                  <c:v>143.60434578754212</c:v>
                </c:pt>
                <c:pt idx="183">
                  <c:v>143.70476463860967</c:v>
                </c:pt>
                <c:pt idx="184">
                  <c:v>143.80518348967729</c:v>
                </c:pt>
                <c:pt idx="185">
                  <c:v>143.90560234074485</c:v>
                </c:pt>
                <c:pt idx="186">
                  <c:v>144.00602119181244</c:v>
                </c:pt>
                <c:pt idx="187">
                  <c:v>144.10644004288002</c:v>
                </c:pt>
                <c:pt idx="188">
                  <c:v>144.20685889394761</c:v>
                </c:pt>
                <c:pt idx="189">
                  <c:v>144.3072777450152</c:v>
                </c:pt>
                <c:pt idx="190">
                  <c:v>144.40769659608279</c:v>
                </c:pt>
                <c:pt idx="191">
                  <c:v>144.50811544715037</c:v>
                </c:pt>
                <c:pt idx="192">
                  <c:v>144.60853429821796</c:v>
                </c:pt>
                <c:pt idx="193">
                  <c:v>144.70895314928555</c:v>
                </c:pt>
                <c:pt idx="194">
                  <c:v>144.80937200035314</c:v>
                </c:pt>
                <c:pt idx="195">
                  <c:v>144.90979085142072</c:v>
                </c:pt>
                <c:pt idx="196">
                  <c:v>145.01020970248831</c:v>
                </c:pt>
                <c:pt idx="197">
                  <c:v>145.1106285535559</c:v>
                </c:pt>
                <c:pt idx="198">
                  <c:v>145.21104740462349</c:v>
                </c:pt>
                <c:pt idx="199">
                  <c:v>145.31146625569107</c:v>
                </c:pt>
                <c:pt idx="200">
                  <c:v>145.41188510675866</c:v>
                </c:pt>
              </c:numCache>
            </c:numRef>
          </c:xVal>
          <c:yVal>
            <c:numRef>
              <c:f>Utility!$F$2:$F$202</c:f>
              <c:numCache>
                <c:formatCode>_(* #,##0.0_);_(* \(#,##0.0\);_(* "-"??_);_(@_)</c:formatCode>
                <c:ptCount val="201"/>
                <c:pt idx="0">
                  <c:v>-280</c:v>
                </c:pt>
                <c:pt idx="1">
                  <c:v>-280</c:v>
                </c:pt>
                <c:pt idx="2">
                  <c:v>-280</c:v>
                </c:pt>
                <c:pt idx="3">
                  <c:v>-280</c:v>
                </c:pt>
                <c:pt idx="4">
                  <c:v>-280</c:v>
                </c:pt>
                <c:pt idx="5">
                  <c:v>-280</c:v>
                </c:pt>
                <c:pt idx="6">
                  <c:v>-280</c:v>
                </c:pt>
                <c:pt idx="7">
                  <c:v>-280</c:v>
                </c:pt>
                <c:pt idx="8">
                  <c:v>-280</c:v>
                </c:pt>
                <c:pt idx="9">
                  <c:v>-280</c:v>
                </c:pt>
                <c:pt idx="10">
                  <c:v>-280</c:v>
                </c:pt>
                <c:pt idx="11">
                  <c:v>-280</c:v>
                </c:pt>
                <c:pt idx="12">
                  <c:v>-280</c:v>
                </c:pt>
                <c:pt idx="13">
                  <c:v>-280</c:v>
                </c:pt>
                <c:pt idx="14">
                  <c:v>-280</c:v>
                </c:pt>
                <c:pt idx="15">
                  <c:v>-280</c:v>
                </c:pt>
                <c:pt idx="16">
                  <c:v>-280</c:v>
                </c:pt>
                <c:pt idx="17">
                  <c:v>-280</c:v>
                </c:pt>
                <c:pt idx="18">
                  <c:v>-280</c:v>
                </c:pt>
                <c:pt idx="19">
                  <c:v>-280</c:v>
                </c:pt>
                <c:pt idx="20">
                  <c:v>-280</c:v>
                </c:pt>
                <c:pt idx="21">
                  <c:v>-280</c:v>
                </c:pt>
                <c:pt idx="22">
                  <c:v>-280</c:v>
                </c:pt>
                <c:pt idx="23">
                  <c:v>-280</c:v>
                </c:pt>
                <c:pt idx="24">
                  <c:v>-280</c:v>
                </c:pt>
                <c:pt idx="25">
                  <c:v>-280</c:v>
                </c:pt>
                <c:pt idx="26">
                  <c:v>-280</c:v>
                </c:pt>
                <c:pt idx="27">
                  <c:v>-280</c:v>
                </c:pt>
                <c:pt idx="28">
                  <c:v>-280</c:v>
                </c:pt>
                <c:pt idx="29">
                  <c:v>-280</c:v>
                </c:pt>
                <c:pt idx="30">
                  <c:v>-280</c:v>
                </c:pt>
                <c:pt idx="31">
                  <c:v>-280</c:v>
                </c:pt>
                <c:pt idx="32">
                  <c:v>-280</c:v>
                </c:pt>
                <c:pt idx="33">
                  <c:v>-280</c:v>
                </c:pt>
                <c:pt idx="34">
                  <c:v>-280</c:v>
                </c:pt>
                <c:pt idx="35">
                  <c:v>-280</c:v>
                </c:pt>
                <c:pt idx="36">
                  <c:v>-280</c:v>
                </c:pt>
                <c:pt idx="37">
                  <c:v>-280</c:v>
                </c:pt>
                <c:pt idx="38">
                  <c:v>-280</c:v>
                </c:pt>
                <c:pt idx="39">
                  <c:v>-280</c:v>
                </c:pt>
                <c:pt idx="40">
                  <c:v>-280</c:v>
                </c:pt>
                <c:pt idx="41">
                  <c:v>-280</c:v>
                </c:pt>
                <c:pt idx="42">
                  <c:v>-280</c:v>
                </c:pt>
                <c:pt idx="43">
                  <c:v>-280</c:v>
                </c:pt>
                <c:pt idx="44">
                  <c:v>-280</c:v>
                </c:pt>
                <c:pt idx="45">
                  <c:v>-280</c:v>
                </c:pt>
                <c:pt idx="46">
                  <c:v>-280</c:v>
                </c:pt>
                <c:pt idx="47">
                  <c:v>-280</c:v>
                </c:pt>
                <c:pt idx="48">
                  <c:v>-280</c:v>
                </c:pt>
                <c:pt idx="49">
                  <c:v>-280</c:v>
                </c:pt>
                <c:pt idx="50">
                  <c:v>-280</c:v>
                </c:pt>
                <c:pt idx="51">
                  <c:v>-280</c:v>
                </c:pt>
                <c:pt idx="52">
                  <c:v>-280</c:v>
                </c:pt>
                <c:pt idx="53">
                  <c:v>-280</c:v>
                </c:pt>
                <c:pt idx="54">
                  <c:v>-280</c:v>
                </c:pt>
                <c:pt idx="55">
                  <c:v>-280</c:v>
                </c:pt>
                <c:pt idx="56">
                  <c:v>-280</c:v>
                </c:pt>
                <c:pt idx="57">
                  <c:v>-280</c:v>
                </c:pt>
                <c:pt idx="58">
                  <c:v>-280</c:v>
                </c:pt>
                <c:pt idx="59">
                  <c:v>-280</c:v>
                </c:pt>
                <c:pt idx="60">
                  <c:v>-280</c:v>
                </c:pt>
                <c:pt idx="61">
                  <c:v>-280</c:v>
                </c:pt>
                <c:pt idx="62">
                  <c:v>-280</c:v>
                </c:pt>
                <c:pt idx="63">
                  <c:v>-280</c:v>
                </c:pt>
                <c:pt idx="64">
                  <c:v>-280</c:v>
                </c:pt>
                <c:pt idx="65">
                  <c:v>-280</c:v>
                </c:pt>
                <c:pt idx="66">
                  <c:v>-280</c:v>
                </c:pt>
                <c:pt idx="67">
                  <c:v>-280</c:v>
                </c:pt>
                <c:pt idx="68">
                  <c:v>-280</c:v>
                </c:pt>
                <c:pt idx="69">
                  <c:v>-280</c:v>
                </c:pt>
                <c:pt idx="70">
                  <c:v>-280</c:v>
                </c:pt>
                <c:pt idx="71">
                  <c:v>-280</c:v>
                </c:pt>
                <c:pt idx="72">
                  <c:v>-280</c:v>
                </c:pt>
                <c:pt idx="73">
                  <c:v>-280</c:v>
                </c:pt>
                <c:pt idx="74">
                  <c:v>-280</c:v>
                </c:pt>
                <c:pt idx="75">
                  <c:v>-280</c:v>
                </c:pt>
                <c:pt idx="76">
                  <c:v>-280</c:v>
                </c:pt>
                <c:pt idx="77">
                  <c:v>-280</c:v>
                </c:pt>
                <c:pt idx="78">
                  <c:v>-280</c:v>
                </c:pt>
                <c:pt idx="79">
                  <c:v>-280</c:v>
                </c:pt>
                <c:pt idx="80">
                  <c:v>-280</c:v>
                </c:pt>
                <c:pt idx="81">
                  <c:v>-280</c:v>
                </c:pt>
                <c:pt idx="82">
                  <c:v>-280</c:v>
                </c:pt>
                <c:pt idx="83">
                  <c:v>-280</c:v>
                </c:pt>
                <c:pt idx="84">
                  <c:v>-280</c:v>
                </c:pt>
                <c:pt idx="85">
                  <c:v>-280</c:v>
                </c:pt>
                <c:pt idx="86">
                  <c:v>-280</c:v>
                </c:pt>
                <c:pt idx="87">
                  <c:v>-280</c:v>
                </c:pt>
                <c:pt idx="88">
                  <c:v>-280</c:v>
                </c:pt>
                <c:pt idx="89">
                  <c:v>-280</c:v>
                </c:pt>
                <c:pt idx="90">
                  <c:v>-280</c:v>
                </c:pt>
                <c:pt idx="91">
                  <c:v>-280</c:v>
                </c:pt>
                <c:pt idx="92">
                  <c:v>-280</c:v>
                </c:pt>
                <c:pt idx="93">
                  <c:v>-280</c:v>
                </c:pt>
                <c:pt idx="94">
                  <c:v>-280</c:v>
                </c:pt>
                <c:pt idx="95">
                  <c:v>-280</c:v>
                </c:pt>
                <c:pt idx="96">
                  <c:v>-280</c:v>
                </c:pt>
                <c:pt idx="97">
                  <c:v>-273.12565532027577</c:v>
                </c:pt>
                <c:pt idx="98">
                  <c:v>-263.08377021351703</c:v>
                </c:pt>
                <c:pt idx="99">
                  <c:v>-253.04188510675826</c:v>
                </c:pt>
                <c:pt idx="100">
                  <c:v>-242.99999999999952</c:v>
                </c:pt>
                <c:pt idx="101">
                  <c:v>-232.95811489324078</c:v>
                </c:pt>
                <c:pt idx="102">
                  <c:v>-222.91622978648203</c:v>
                </c:pt>
                <c:pt idx="103">
                  <c:v>-212.87434467972329</c:v>
                </c:pt>
                <c:pt idx="104">
                  <c:v>-202.83245957296455</c:v>
                </c:pt>
                <c:pt idx="105">
                  <c:v>-192.79057446620581</c:v>
                </c:pt>
                <c:pt idx="106">
                  <c:v>-182.74868935944707</c:v>
                </c:pt>
                <c:pt idx="107">
                  <c:v>-172.70680425268833</c:v>
                </c:pt>
                <c:pt idx="108">
                  <c:v>-162.66491914592959</c:v>
                </c:pt>
                <c:pt idx="109">
                  <c:v>-152.62303403917085</c:v>
                </c:pt>
                <c:pt idx="110">
                  <c:v>-142.58114893241211</c:v>
                </c:pt>
                <c:pt idx="111">
                  <c:v>-132.53926382565336</c:v>
                </c:pt>
                <c:pt idx="112">
                  <c:v>-122.49737871889464</c:v>
                </c:pt>
                <c:pt idx="113">
                  <c:v>-112.4554936121359</c:v>
                </c:pt>
                <c:pt idx="114">
                  <c:v>-102.41360850537716</c:v>
                </c:pt>
                <c:pt idx="115">
                  <c:v>-92.371723398618414</c:v>
                </c:pt>
                <c:pt idx="116">
                  <c:v>-82.329838291859673</c:v>
                </c:pt>
                <c:pt idx="117">
                  <c:v>-72.287953185103774</c:v>
                </c:pt>
                <c:pt idx="118">
                  <c:v>-62.246068078345033</c:v>
                </c:pt>
                <c:pt idx="119">
                  <c:v>-52.204182971586292</c:v>
                </c:pt>
                <c:pt idx="120">
                  <c:v>-42.162297864827551</c:v>
                </c:pt>
                <c:pt idx="121">
                  <c:v>-32.120412758068809</c:v>
                </c:pt>
                <c:pt idx="122">
                  <c:v>-22.078527651310065</c:v>
                </c:pt>
                <c:pt idx="123">
                  <c:v>-12.036642544551324</c:v>
                </c:pt>
                <c:pt idx="124">
                  <c:v>-1.9947574377925825</c:v>
                </c:pt>
                <c:pt idx="125">
                  <c:v>8.0471276689661586</c:v>
                </c:pt>
                <c:pt idx="126">
                  <c:v>18.0890127757249</c:v>
                </c:pt>
                <c:pt idx="127">
                  <c:v>28.130897882483641</c:v>
                </c:pt>
                <c:pt idx="128">
                  <c:v>38.172782989242378</c:v>
                </c:pt>
                <c:pt idx="129">
                  <c:v>48.21466809600112</c:v>
                </c:pt>
                <c:pt idx="130">
                  <c:v>58.256553202759861</c:v>
                </c:pt>
                <c:pt idx="131">
                  <c:v>68.298438309518602</c:v>
                </c:pt>
                <c:pt idx="132">
                  <c:v>78.340323416277343</c:v>
                </c:pt>
                <c:pt idx="133">
                  <c:v>88.382208523036084</c:v>
                </c:pt>
                <c:pt idx="134">
                  <c:v>98.424093629794825</c:v>
                </c:pt>
                <c:pt idx="135">
                  <c:v>108.46597873655357</c:v>
                </c:pt>
                <c:pt idx="136">
                  <c:v>118.50786384331231</c:v>
                </c:pt>
                <c:pt idx="137">
                  <c:v>128.54974895007106</c:v>
                </c:pt>
                <c:pt idx="138">
                  <c:v>138.5916340568298</c:v>
                </c:pt>
                <c:pt idx="139">
                  <c:v>148.63351916358855</c:v>
                </c:pt>
                <c:pt idx="140">
                  <c:v>158.67540427034729</c:v>
                </c:pt>
                <c:pt idx="141">
                  <c:v>168.71728937710603</c:v>
                </c:pt>
                <c:pt idx="142">
                  <c:v>178.75917448386477</c:v>
                </c:pt>
                <c:pt idx="143">
                  <c:v>188.80105959062351</c:v>
                </c:pt>
                <c:pt idx="144">
                  <c:v>198.84294469738225</c:v>
                </c:pt>
                <c:pt idx="145">
                  <c:v>208.88482980414099</c:v>
                </c:pt>
                <c:pt idx="146">
                  <c:v>218.92671491089973</c:v>
                </c:pt>
                <c:pt idx="147">
                  <c:v>228.96860001765847</c:v>
                </c:pt>
                <c:pt idx="148">
                  <c:v>239.01048512441722</c:v>
                </c:pt>
                <c:pt idx="149">
                  <c:v>249.05237023117596</c:v>
                </c:pt>
                <c:pt idx="150">
                  <c:v>259.09425533793183</c:v>
                </c:pt>
                <c:pt idx="151">
                  <c:v>269.13614044469057</c:v>
                </c:pt>
                <c:pt idx="152">
                  <c:v>279.17802555144931</c:v>
                </c:pt>
                <c:pt idx="153">
                  <c:v>289.21991065820805</c:v>
                </c:pt>
                <c:pt idx="154">
                  <c:v>299.26179576496679</c:v>
                </c:pt>
                <c:pt idx="155">
                  <c:v>309.30368087172553</c:v>
                </c:pt>
                <c:pt idx="156">
                  <c:v>319.34556597848427</c:v>
                </c:pt>
                <c:pt idx="157">
                  <c:v>329.38745108524301</c:v>
                </c:pt>
                <c:pt idx="158">
                  <c:v>339.42933619200176</c:v>
                </c:pt>
                <c:pt idx="159">
                  <c:v>349.4712212987605</c:v>
                </c:pt>
                <c:pt idx="160">
                  <c:v>359.51310640551924</c:v>
                </c:pt>
                <c:pt idx="161">
                  <c:v>369.55499151227798</c:v>
                </c:pt>
                <c:pt idx="162">
                  <c:v>379.59687661903672</c:v>
                </c:pt>
                <c:pt idx="163">
                  <c:v>389.63876172579546</c:v>
                </c:pt>
                <c:pt idx="164">
                  <c:v>399.6806468325542</c:v>
                </c:pt>
                <c:pt idx="165">
                  <c:v>409.72253193931294</c:v>
                </c:pt>
                <c:pt idx="166">
                  <c:v>419.76441704607169</c:v>
                </c:pt>
                <c:pt idx="167">
                  <c:v>429.80630215283043</c:v>
                </c:pt>
                <c:pt idx="168">
                  <c:v>439.84818725958917</c:v>
                </c:pt>
                <c:pt idx="169">
                  <c:v>449.89007236634791</c:v>
                </c:pt>
                <c:pt idx="170">
                  <c:v>459.93195747310665</c:v>
                </c:pt>
                <c:pt idx="171">
                  <c:v>469.97384257986539</c:v>
                </c:pt>
                <c:pt idx="172">
                  <c:v>480.01572768662413</c:v>
                </c:pt>
                <c:pt idx="173">
                  <c:v>490.05761279338287</c:v>
                </c:pt>
                <c:pt idx="174">
                  <c:v>500.09949790014161</c:v>
                </c:pt>
                <c:pt idx="175">
                  <c:v>510.14138300690036</c:v>
                </c:pt>
                <c:pt idx="176">
                  <c:v>520.1832681136591</c:v>
                </c:pt>
                <c:pt idx="177">
                  <c:v>530.22515322041784</c:v>
                </c:pt>
                <c:pt idx="178">
                  <c:v>540.26703832717658</c:v>
                </c:pt>
                <c:pt idx="179">
                  <c:v>550.30892343393532</c:v>
                </c:pt>
                <c:pt idx="180">
                  <c:v>560.35080854069406</c:v>
                </c:pt>
                <c:pt idx="181">
                  <c:v>570.3926936474528</c:v>
                </c:pt>
                <c:pt idx="182">
                  <c:v>580.43457875421154</c:v>
                </c:pt>
                <c:pt idx="183">
                  <c:v>590.47646386096744</c:v>
                </c:pt>
                <c:pt idx="184">
                  <c:v>600.51834896772903</c:v>
                </c:pt>
                <c:pt idx="185">
                  <c:v>610.56023407448492</c:v>
                </c:pt>
                <c:pt idx="186">
                  <c:v>620.60211918124367</c:v>
                </c:pt>
                <c:pt idx="187">
                  <c:v>630.64400428800241</c:v>
                </c:pt>
                <c:pt idx="188">
                  <c:v>640.68588939476115</c:v>
                </c:pt>
                <c:pt idx="189">
                  <c:v>650.72777450151989</c:v>
                </c:pt>
                <c:pt idx="190">
                  <c:v>660.76965960827863</c:v>
                </c:pt>
                <c:pt idx="191">
                  <c:v>670.81154471503737</c:v>
                </c:pt>
                <c:pt idx="192">
                  <c:v>680.85342982179611</c:v>
                </c:pt>
                <c:pt idx="193">
                  <c:v>690.89531492855485</c:v>
                </c:pt>
                <c:pt idx="194">
                  <c:v>700.93720003531359</c:v>
                </c:pt>
                <c:pt idx="195">
                  <c:v>710.97908514207234</c:v>
                </c:pt>
                <c:pt idx="196">
                  <c:v>721.02097024883108</c:v>
                </c:pt>
                <c:pt idx="197">
                  <c:v>731.06285535558982</c:v>
                </c:pt>
                <c:pt idx="198">
                  <c:v>741.10474046234856</c:v>
                </c:pt>
                <c:pt idx="199">
                  <c:v>751.1466255691073</c:v>
                </c:pt>
                <c:pt idx="200">
                  <c:v>761.18851067586604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75-40F8-954C-F04F2E14AC99}"/>
            </c:ext>
          </c:extLst>
        </c:ser>
        <c:ser>
          <c:idx val="2"/>
          <c:order val="2"/>
          <c:tx>
            <c:strRef>
              <c:f>Utility!$B$8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Utility!$H$2:$H$202</c:f>
              <c:numCache>
                <c:formatCode>_("$"* #,##0.00_);_("$"* \(#,##0.00\);_("$"* "-"??_);_(@_)</c:formatCode>
                <c:ptCount val="201"/>
                <c:pt idx="0">
                  <c:v>135.37</c:v>
                </c:pt>
                <c:pt idx="1">
                  <c:v>135.37</c:v>
                </c:pt>
                <c:pt idx="2">
                  <c:v>135.37</c:v>
                </c:pt>
                <c:pt idx="3">
                  <c:v>135.37</c:v>
                </c:pt>
                <c:pt idx="4">
                  <c:v>135.37</c:v>
                </c:pt>
                <c:pt idx="5">
                  <c:v>135.37</c:v>
                </c:pt>
                <c:pt idx="6">
                  <c:v>135.37</c:v>
                </c:pt>
                <c:pt idx="7">
                  <c:v>135.37</c:v>
                </c:pt>
                <c:pt idx="8">
                  <c:v>135.37</c:v>
                </c:pt>
                <c:pt idx="9">
                  <c:v>135.37</c:v>
                </c:pt>
                <c:pt idx="10">
                  <c:v>135.37</c:v>
                </c:pt>
                <c:pt idx="11">
                  <c:v>135.37</c:v>
                </c:pt>
                <c:pt idx="12">
                  <c:v>135.37</c:v>
                </c:pt>
                <c:pt idx="13">
                  <c:v>135.37</c:v>
                </c:pt>
                <c:pt idx="14">
                  <c:v>135.37</c:v>
                </c:pt>
                <c:pt idx="15">
                  <c:v>135.37</c:v>
                </c:pt>
                <c:pt idx="16">
                  <c:v>135.37</c:v>
                </c:pt>
                <c:pt idx="17">
                  <c:v>135.37</c:v>
                </c:pt>
                <c:pt idx="18">
                  <c:v>135.37</c:v>
                </c:pt>
                <c:pt idx="19">
                  <c:v>135.37</c:v>
                </c:pt>
                <c:pt idx="20">
                  <c:v>135.37</c:v>
                </c:pt>
                <c:pt idx="21">
                  <c:v>135.37</c:v>
                </c:pt>
                <c:pt idx="22">
                  <c:v>135.37</c:v>
                </c:pt>
                <c:pt idx="23">
                  <c:v>135.37</c:v>
                </c:pt>
                <c:pt idx="24">
                  <c:v>135.37</c:v>
                </c:pt>
                <c:pt idx="25">
                  <c:v>135.37</c:v>
                </c:pt>
                <c:pt idx="26">
                  <c:v>135.37</c:v>
                </c:pt>
                <c:pt idx="27">
                  <c:v>135.37</c:v>
                </c:pt>
                <c:pt idx="28">
                  <c:v>135.37</c:v>
                </c:pt>
                <c:pt idx="29">
                  <c:v>135.37</c:v>
                </c:pt>
                <c:pt idx="30">
                  <c:v>135.37</c:v>
                </c:pt>
                <c:pt idx="31">
                  <c:v>135.37</c:v>
                </c:pt>
                <c:pt idx="32">
                  <c:v>135.37</c:v>
                </c:pt>
                <c:pt idx="33">
                  <c:v>135.37</c:v>
                </c:pt>
                <c:pt idx="34">
                  <c:v>135.37</c:v>
                </c:pt>
                <c:pt idx="35">
                  <c:v>135.37</c:v>
                </c:pt>
                <c:pt idx="36">
                  <c:v>135.37</c:v>
                </c:pt>
                <c:pt idx="37">
                  <c:v>135.37</c:v>
                </c:pt>
                <c:pt idx="38">
                  <c:v>135.37</c:v>
                </c:pt>
                <c:pt idx="39">
                  <c:v>135.37</c:v>
                </c:pt>
                <c:pt idx="40">
                  <c:v>135.37</c:v>
                </c:pt>
                <c:pt idx="41">
                  <c:v>135.37</c:v>
                </c:pt>
                <c:pt idx="42">
                  <c:v>135.37</c:v>
                </c:pt>
                <c:pt idx="43">
                  <c:v>135.37</c:v>
                </c:pt>
                <c:pt idx="44">
                  <c:v>135.37</c:v>
                </c:pt>
                <c:pt idx="45">
                  <c:v>135.37</c:v>
                </c:pt>
                <c:pt idx="46">
                  <c:v>135.37</c:v>
                </c:pt>
                <c:pt idx="47">
                  <c:v>135.37</c:v>
                </c:pt>
                <c:pt idx="48">
                  <c:v>135.37</c:v>
                </c:pt>
                <c:pt idx="49">
                  <c:v>135.37</c:v>
                </c:pt>
                <c:pt idx="50">
                  <c:v>135.37</c:v>
                </c:pt>
                <c:pt idx="51">
                  <c:v>135.37</c:v>
                </c:pt>
                <c:pt idx="52">
                  <c:v>135.37</c:v>
                </c:pt>
                <c:pt idx="53">
                  <c:v>135.37</c:v>
                </c:pt>
                <c:pt idx="54">
                  <c:v>135.37</c:v>
                </c:pt>
                <c:pt idx="55">
                  <c:v>135.37</c:v>
                </c:pt>
                <c:pt idx="56">
                  <c:v>135.37</c:v>
                </c:pt>
                <c:pt idx="57">
                  <c:v>135.37</c:v>
                </c:pt>
                <c:pt idx="58">
                  <c:v>135.37</c:v>
                </c:pt>
                <c:pt idx="59">
                  <c:v>135.37</c:v>
                </c:pt>
                <c:pt idx="60">
                  <c:v>135.37</c:v>
                </c:pt>
                <c:pt idx="61">
                  <c:v>135.37</c:v>
                </c:pt>
                <c:pt idx="62">
                  <c:v>135.37</c:v>
                </c:pt>
                <c:pt idx="63">
                  <c:v>135.37</c:v>
                </c:pt>
                <c:pt idx="64">
                  <c:v>135.37</c:v>
                </c:pt>
                <c:pt idx="65">
                  <c:v>135.37</c:v>
                </c:pt>
                <c:pt idx="66">
                  <c:v>135.37</c:v>
                </c:pt>
                <c:pt idx="67">
                  <c:v>135.37</c:v>
                </c:pt>
                <c:pt idx="68">
                  <c:v>135.37</c:v>
                </c:pt>
                <c:pt idx="69">
                  <c:v>135.37</c:v>
                </c:pt>
                <c:pt idx="70">
                  <c:v>135.37</c:v>
                </c:pt>
                <c:pt idx="71">
                  <c:v>135.37</c:v>
                </c:pt>
                <c:pt idx="72">
                  <c:v>135.37</c:v>
                </c:pt>
                <c:pt idx="73">
                  <c:v>135.37</c:v>
                </c:pt>
                <c:pt idx="74">
                  <c:v>135.37</c:v>
                </c:pt>
                <c:pt idx="75">
                  <c:v>135.37</c:v>
                </c:pt>
                <c:pt idx="76">
                  <c:v>135.37</c:v>
                </c:pt>
                <c:pt idx="77">
                  <c:v>135.37</c:v>
                </c:pt>
                <c:pt idx="78">
                  <c:v>135.37</c:v>
                </c:pt>
                <c:pt idx="79">
                  <c:v>135.37</c:v>
                </c:pt>
                <c:pt idx="80">
                  <c:v>135.37</c:v>
                </c:pt>
                <c:pt idx="81">
                  <c:v>135.37</c:v>
                </c:pt>
                <c:pt idx="82">
                  <c:v>135.37</c:v>
                </c:pt>
                <c:pt idx="83">
                  <c:v>135.37</c:v>
                </c:pt>
                <c:pt idx="84">
                  <c:v>135.37</c:v>
                </c:pt>
                <c:pt idx="85">
                  <c:v>135.37</c:v>
                </c:pt>
                <c:pt idx="86">
                  <c:v>135.37</c:v>
                </c:pt>
                <c:pt idx="87">
                  <c:v>135.37</c:v>
                </c:pt>
                <c:pt idx="88">
                  <c:v>135.37</c:v>
                </c:pt>
                <c:pt idx="89">
                  <c:v>135.37</c:v>
                </c:pt>
                <c:pt idx="90">
                  <c:v>135.37</c:v>
                </c:pt>
                <c:pt idx="91">
                  <c:v>135.37</c:v>
                </c:pt>
                <c:pt idx="92">
                  <c:v>135.37</c:v>
                </c:pt>
                <c:pt idx="93">
                  <c:v>135.37</c:v>
                </c:pt>
                <c:pt idx="94">
                  <c:v>135.37</c:v>
                </c:pt>
                <c:pt idx="95">
                  <c:v>135.37</c:v>
                </c:pt>
                <c:pt idx="96">
                  <c:v>135.37</c:v>
                </c:pt>
                <c:pt idx="97">
                  <c:v>135.37</c:v>
                </c:pt>
                <c:pt idx="98">
                  <c:v>135.37</c:v>
                </c:pt>
                <c:pt idx="99">
                  <c:v>135.37</c:v>
                </c:pt>
                <c:pt idx="100">
                  <c:v>135.37</c:v>
                </c:pt>
                <c:pt idx="101">
                  <c:v>135.37</c:v>
                </c:pt>
                <c:pt idx="102">
                  <c:v>135.37</c:v>
                </c:pt>
                <c:pt idx="103">
                  <c:v>135.37</c:v>
                </c:pt>
                <c:pt idx="104">
                  <c:v>135.37</c:v>
                </c:pt>
                <c:pt idx="105">
                  <c:v>135.37</c:v>
                </c:pt>
                <c:pt idx="106">
                  <c:v>135.37</c:v>
                </c:pt>
                <c:pt idx="107">
                  <c:v>135.37</c:v>
                </c:pt>
                <c:pt idx="108">
                  <c:v>135.37</c:v>
                </c:pt>
                <c:pt idx="109">
                  <c:v>135.37</c:v>
                </c:pt>
                <c:pt idx="110">
                  <c:v>135.37</c:v>
                </c:pt>
                <c:pt idx="111">
                  <c:v>135.37</c:v>
                </c:pt>
                <c:pt idx="112">
                  <c:v>135.37</c:v>
                </c:pt>
                <c:pt idx="113">
                  <c:v>135.37</c:v>
                </c:pt>
                <c:pt idx="114">
                  <c:v>135.37</c:v>
                </c:pt>
                <c:pt idx="115">
                  <c:v>135.37</c:v>
                </c:pt>
                <c:pt idx="116">
                  <c:v>135.37</c:v>
                </c:pt>
                <c:pt idx="117">
                  <c:v>135.37</c:v>
                </c:pt>
                <c:pt idx="118">
                  <c:v>135.37</c:v>
                </c:pt>
                <c:pt idx="119">
                  <c:v>135.37</c:v>
                </c:pt>
                <c:pt idx="120">
                  <c:v>135.37</c:v>
                </c:pt>
                <c:pt idx="121">
                  <c:v>135.37</c:v>
                </c:pt>
                <c:pt idx="122">
                  <c:v>135.37</c:v>
                </c:pt>
                <c:pt idx="123">
                  <c:v>135.37</c:v>
                </c:pt>
                <c:pt idx="124">
                  <c:v>135.37</c:v>
                </c:pt>
                <c:pt idx="125">
                  <c:v>135.37</c:v>
                </c:pt>
                <c:pt idx="126">
                  <c:v>135.37</c:v>
                </c:pt>
                <c:pt idx="127">
                  <c:v>135.37</c:v>
                </c:pt>
                <c:pt idx="128">
                  <c:v>135.37</c:v>
                </c:pt>
                <c:pt idx="129">
                  <c:v>135.37</c:v>
                </c:pt>
                <c:pt idx="130">
                  <c:v>135.37</c:v>
                </c:pt>
                <c:pt idx="131">
                  <c:v>135.37</c:v>
                </c:pt>
                <c:pt idx="132">
                  <c:v>135.37</c:v>
                </c:pt>
                <c:pt idx="133">
                  <c:v>135.37</c:v>
                </c:pt>
                <c:pt idx="134">
                  <c:v>135.37</c:v>
                </c:pt>
                <c:pt idx="135">
                  <c:v>135.37</c:v>
                </c:pt>
                <c:pt idx="136">
                  <c:v>135.37</c:v>
                </c:pt>
                <c:pt idx="137">
                  <c:v>135.37</c:v>
                </c:pt>
                <c:pt idx="138">
                  <c:v>135.37</c:v>
                </c:pt>
                <c:pt idx="139">
                  <c:v>135.37</c:v>
                </c:pt>
                <c:pt idx="140">
                  <c:v>135.37</c:v>
                </c:pt>
                <c:pt idx="141">
                  <c:v>135.37</c:v>
                </c:pt>
                <c:pt idx="142">
                  <c:v>135.37</c:v>
                </c:pt>
                <c:pt idx="143">
                  <c:v>135.37</c:v>
                </c:pt>
                <c:pt idx="144">
                  <c:v>135.37</c:v>
                </c:pt>
                <c:pt idx="145">
                  <c:v>135.37</c:v>
                </c:pt>
                <c:pt idx="146">
                  <c:v>135.37</c:v>
                </c:pt>
                <c:pt idx="147">
                  <c:v>135.37</c:v>
                </c:pt>
                <c:pt idx="148">
                  <c:v>135.37</c:v>
                </c:pt>
                <c:pt idx="149">
                  <c:v>135.37</c:v>
                </c:pt>
                <c:pt idx="150">
                  <c:v>135.37</c:v>
                </c:pt>
                <c:pt idx="151">
                  <c:v>135.37</c:v>
                </c:pt>
                <c:pt idx="152">
                  <c:v>135.37</c:v>
                </c:pt>
                <c:pt idx="153">
                  <c:v>135.37</c:v>
                </c:pt>
                <c:pt idx="154">
                  <c:v>135.37</c:v>
                </c:pt>
                <c:pt idx="155">
                  <c:v>135.37</c:v>
                </c:pt>
                <c:pt idx="156">
                  <c:v>135.37</c:v>
                </c:pt>
                <c:pt idx="157">
                  <c:v>135.37</c:v>
                </c:pt>
                <c:pt idx="158">
                  <c:v>135.37</c:v>
                </c:pt>
                <c:pt idx="159">
                  <c:v>135.37</c:v>
                </c:pt>
                <c:pt idx="160">
                  <c:v>135.37</c:v>
                </c:pt>
                <c:pt idx="161">
                  <c:v>135.37</c:v>
                </c:pt>
                <c:pt idx="162">
                  <c:v>135.37</c:v>
                </c:pt>
                <c:pt idx="163">
                  <c:v>135.37</c:v>
                </c:pt>
                <c:pt idx="164">
                  <c:v>135.37</c:v>
                </c:pt>
                <c:pt idx="165">
                  <c:v>135.37</c:v>
                </c:pt>
                <c:pt idx="166">
                  <c:v>135.37</c:v>
                </c:pt>
                <c:pt idx="167">
                  <c:v>135.37</c:v>
                </c:pt>
                <c:pt idx="168">
                  <c:v>135.37</c:v>
                </c:pt>
                <c:pt idx="169">
                  <c:v>135.37</c:v>
                </c:pt>
                <c:pt idx="170">
                  <c:v>135.37</c:v>
                </c:pt>
                <c:pt idx="171">
                  <c:v>135.37</c:v>
                </c:pt>
                <c:pt idx="172">
                  <c:v>135.37</c:v>
                </c:pt>
                <c:pt idx="173">
                  <c:v>135.37</c:v>
                </c:pt>
                <c:pt idx="174">
                  <c:v>135.37</c:v>
                </c:pt>
                <c:pt idx="175">
                  <c:v>135.37</c:v>
                </c:pt>
                <c:pt idx="176">
                  <c:v>135.37</c:v>
                </c:pt>
                <c:pt idx="177">
                  <c:v>135.37</c:v>
                </c:pt>
                <c:pt idx="178">
                  <c:v>135.37</c:v>
                </c:pt>
                <c:pt idx="179">
                  <c:v>135.37</c:v>
                </c:pt>
                <c:pt idx="180">
                  <c:v>135.37</c:v>
                </c:pt>
                <c:pt idx="181">
                  <c:v>135.37</c:v>
                </c:pt>
                <c:pt idx="182">
                  <c:v>135.37</c:v>
                </c:pt>
                <c:pt idx="183">
                  <c:v>135.37</c:v>
                </c:pt>
                <c:pt idx="184">
                  <c:v>135.37</c:v>
                </c:pt>
                <c:pt idx="185">
                  <c:v>135.37</c:v>
                </c:pt>
                <c:pt idx="186">
                  <c:v>135.37</c:v>
                </c:pt>
                <c:pt idx="187">
                  <c:v>135.37</c:v>
                </c:pt>
                <c:pt idx="188">
                  <c:v>135.37</c:v>
                </c:pt>
                <c:pt idx="189">
                  <c:v>135.37</c:v>
                </c:pt>
                <c:pt idx="190">
                  <c:v>135.37</c:v>
                </c:pt>
                <c:pt idx="191">
                  <c:v>135.37</c:v>
                </c:pt>
                <c:pt idx="192">
                  <c:v>135.37</c:v>
                </c:pt>
                <c:pt idx="193">
                  <c:v>135.37</c:v>
                </c:pt>
                <c:pt idx="194">
                  <c:v>135.37</c:v>
                </c:pt>
                <c:pt idx="195">
                  <c:v>135.37</c:v>
                </c:pt>
                <c:pt idx="196">
                  <c:v>135.37</c:v>
                </c:pt>
                <c:pt idx="197">
                  <c:v>135.37</c:v>
                </c:pt>
                <c:pt idx="198">
                  <c:v>135.37</c:v>
                </c:pt>
                <c:pt idx="199">
                  <c:v>135.37</c:v>
                </c:pt>
                <c:pt idx="200">
                  <c:v>135.37</c:v>
                </c:pt>
              </c:numCache>
            </c:numRef>
          </c:xVal>
          <c:yVal>
            <c:numRef>
              <c:f>Utility!$F$2:$F$202</c:f>
              <c:numCache>
                <c:formatCode>_(* #,##0.0_);_(* \(#,##0.0\);_(* "-"??_);_(@_)</c:formatCode>
                <c:ptCount val="201"/>
                <c:pt idx="0">
                  <c:v>-280</c:v>
                </c:pt>
                <c:pt idx="1">
                  <c:v>-280</c:v>
                </c:pt>
                <c:pt idx="2">
                  <c:v>-280</c:v>
                </c:pt>
                <c:pt idx="3">
                  <c:v>-280</c:v>
                </c:pt>
                <c:pt idx="4">
                  <c:v>-280</c:v>
                </c:pt>
                <c:pt idx="5">
                  <c:v>-280</c:v>
                </c:pt>
                <c:pt idx="6">
                  <c:v>-280</c:v>
                </c:pt>
                <c:pt idx="7">
                  <c:v>-280</c:v>
                </c:pt>
                <c:pt idx="8">
                  <c:v>-280</c:v>
                </c:pt>
                <c:pt idx="9">
                  <c:v>-280</c:v>
                </c:pt>
                <c:pt idx="10">
                  <c:v>-280</c:v>
                </c:pt>
                <c:pt idx="11">
                  <c:v>-280</c:v>
                </c:pt>
                <c:pt idx="12">
                  <c:v>-280</c:v>
                </c:pt>
                <c:pt idx="13">
                  <c:v>-280</c:v>
                </c:pt>
                <c:pt idx="14">
                  <c:v>-280</c:v>
                </c:pt>
                <c:pt idx="15">
                  <c:v>-280</c:v>
                </c:pt>
                <c:pt idx="16">
                  <c:v>-280</c:v>
                </c:pt>
                <c:pt idx="17">
                  <c:v>-280</c:v>
                </c:pt>
                <c:pt idx="18">
                  <c:v>-280</c:v>
                </c:pt>
                <c:pt idx="19">
                  <c:v>-280</c:v>
                </c:pt>
                <c:pt idx="20">
                  <c:v>-280</c:v>
                </c:pt>
                <c:pt idx="21">
                  <c:v>-280</c:v>
                </c:pt>
                <c:pt idx="22">
                  <c:v>-280</c:v>
                </c:pt>
                <c:pt idx="23">
                  <c:v>-280</c:v>
                </c:pt>
                <c:pt idx="24">
                  <c:v>-280</c:v>
                </c:pt>
                <c:pt idx="25">
                  <c:v>-280</c:v>
                </c:pt>
                <c:pt idx="26">
                  <c:v>-280</c:v>
                </c:pt>
                <c:pt idx="27">
                  <c:v>-280</c:v>
                </c:pt>
                <c:pt idx="28">
                  <c:v>-280</c:v>
                </c:pt>
                <c:pt idx="29">
                  <c:v>-280</c:v>
                </c:pt>
                <c:pt idx="30">
                  <c:v>-280</c:v>
                </c:pt>
                <c:pt idx="31">
                  <c:v>-280</c:v>
                </c:pt>
                <c:pt idx="32">
                  <c:v>-280</c:v>
                </c:pt>
                <c:pt idx="33">
                  <c:v>-280</c:v>
                </c:pt>
                <c:pt idx="34">
                  <c:v>-280</c:v>
                </c:pt>
                <c:pt idx="35">
                  <c:v>-280</c:v>
                </c:pt>
                <c:pt idx="36">
                  <c:v>-280</c:v>
                </c:pt>
                <c:pt idx="37">
                  <c:v>-280</c:v>
                </c:pt>
                <c:pt idx="38">
                  <c:v>-280</c:v>
                </c:pt>
                <c:pt idx="39">
                  <c:v>-280</c:v>
                </c:pt>
                <c:pt idx="40">
                  <c:v>-280</c:v>
                </c:pt>
                <c:pt idx="41">
                  <c:v>-280</c:v>
                </c:pt>
                <c:pt idx="42">
                  <c:v>-280</c:v>
                </c:pt>
                <c:pt idx="43">
                  <c:v>-280</c:v>
                </c:pt>
                <c:pt idx="44">
                  <c:v>-280</c:v>
                </c:pt>
                <c:pt idx="45">
                  <c:v>-280</c:v>
                </c:pt>
                <c:pt idx="46">
                  <c:v>-280</c:v>
                </c:pt>
                <c:pt idx="47">
                  <c:v>-280</c:v>
                </c:pt>
                <c:pt idx="48">
                  <c:v>-280</c:v>
                </c:pt>
                <c:pt idx="49">
                  <c:v>-280</c:v>
                </c:pt>
                <c:pt idx="50">
                  <c:v>-280</c:v>
                </c:pt>
                <c:pt idx="51">
                  <c:v>-280</c:v>
                </c:pt>
                <c:pt idx="52">
                  <c:v>-280</c:v>
                </c:pt>
                <c:pt idx="53">
                  <c:v>-280</c:v>
                </c:pt>
                <c:pt idx="54">
                  <c:v>-280</c:v>
                </c:pt>
                <c:pt idx="55">
                  <c:v>-280</c:v>
                </c:pt>
                <c:pt idx="56">
                  <c:v>-280</c:v>
                </c:pt>
                <c:pt idx="57">
                  <c:v>-280</c:v>
                </c:pt>
                <c:pt idx="58">
                  <c:v>-280</c:v>
                </c:pt>
                <c:pt idx="59">
                  <c:v>-280</c:v>
                </c:pt>
                <c:pt idx="60">
                  <c:v>-280</c:v>
                </c:pt>
                <c:pt idx="61">
                  <c:v>-280</c:v>
                </c:pt>
                <c:pt idx="62">
                  <c:v>-280</c:v>
                </c:pt>
                <c:pt idx="63">
                  <c:v>-280</c:v>
                </c:pt>
                <c:pt idx="64">
                  <c:v>-280</c:v>
                </c:pt>
                <c:pt idx="65">
                  <c:v>-280</c:v>
                </c:pt>
                <c:pt idx="66">
                  <c:v>-280</c:v>
                </c:pt>
                <c:pt idx="67">
                  <c:v>-280</c:v>
                </c:pt>
                <c:pt idx="68">
                  <c:v>-280</c:v>
                </c:pt>
                <c:pt idx="69">
                  <c:v>-280</c:v>
                </c:pt>
                <c:pt idx="70">
                  <c:v>-280</c:v>
                </c:pt>
                <c:pt idx="71">
                  <c:v>-280</c:v>
                </c:pt>
                <c:pt idx="72">
                  <c:v>-280</c:v>
                </c:pt>
                <c:pt idx="73">
                  <c:v>-280</c:v>
                </c:pt>
                <c:pt idx="74">
                  <c:v>-280</c:v>
                </c:pt>
                <c:pt idx="75">
                  <c:v>-280</c:v>
                </c:pt>
                <c:pt idx="76">
                  <c:v>-280</c:v>
                </c:pt>
                <c:pt idx="77">
                  <c:v>-280</c:v>
                </c:pt>
                <c:pt idx="78">
                  <c:v>-280</c:v>
                </c:pt>
                <c:pt idx="79">
                  <c:v>-280</c:v>
                </c:pt>
                <c:pt idx="80">
                  <c:v>-280</c:v>
                </c:pt>
                <c:pt idx="81">
                  <c:v>-280</c:v>
                </c:pt>
                <c:pt idx="82">
                  <c:v>-280</c:v>
                </c:pt>
                <c:pt idx="83">
                  <c:v>-280</c:v>
                </c:pt>
                <c:pt idx="84">
                  <c:v>-280</c:v>
                </c:pt>
                <c:pt idx="85">
                  <c:v>-280</c:v>
                </c:pt>
                <c:pt idx="86">
                  <c:v>-280</c:v>
                </c:pt>
                <c:pt idx="87">
                  <c:v>-280</c:v>
                </c:pt>
                <c:pt idx="88">
                  <c:v>-280</c:v>
                </c:pt>
                <c:pt idx="89">
                  <c:v>-280</c:v>
                </c:pt>
                <c:pt idx="90">
                  <c:v>-280</c:v>
                </c:pt>
                <c:pt idx="91">
                  <c:v>-280</c:v>
                </c:pt>
                <c:pt idx="92">
                  <c:v>-280</c:v>
                </c:pt>
                <c:pt idx="93">
                  <c:v>-280</c:v>
                </c:pt>
                <c:pt idx="94">
                  <c:v>-280</c:v>
                </c:pt>
                <c:pt idx="95">
                  <c:v>-280</c:v>
                </c:pt>
                <c:pt idx="96">
                  <c:v>-280</c:v>
                </c:pt>
                <c:pt idx="97">
                  <c:v>-273.12565532027577</c:v>
                </c:pt>
                <c:pt idx="98">
                  <c:v>-263.08377021351703</c:v>
                </c:pt>
                <c:pt idx="99">
                  <c:v>-253.04188510675826</c:v>
                </c:pt>
                <c:pt idx="100">
                  <c:v>-242.99999999999952</c:v>
                </c:pt>
                <c:pt idx="101">
                  <c:v>-232.95811489324078</c:v>
                </c:pt>
                <c:pt idx="102">
                  <c:v>-222.91622978648203</c:v>
                </c:pt>
                <c:pt idx="103">
                  <c:v>-212.87434467972329</c:v>
                </c:pt>
                <c:pt idx="104">
                  <c:v>-202.83245957296455</c:v>
                </c:pt>
                <c:pt idx="105">
                  <c:v>-192.79057446620581</c:v>
                </c:pt>
                <c:pt idx="106">
                  <c:v>-182.74868935944707</c:v>
                </c:pt>
                <c:pt idx="107">
                  <c:v>-172.70680425268833</c:v>
                </c:pt>
                <c:pt idx="108">
                  <c:v>-162.66491914592959</c:v>
                </c:pt>
                <c:pt idx="109">
                  <c:v>-152.62303403917085</c:v>
                </c:pt>
                <c:pt idx="110">
                  <c:v>-142.58114893241211</c:v>
                </c:pt>
                <c:pt idx="111">
                  <c:v>-132.53926382565336</c:v>
                </c:pt>
                <c:pt idx="112">
                  <c:v>-122.49737871889464</c:v>
                </c:pt>
                <c:pt idx="113">
                  <c:v>-112.4554936121359</c:v>
                </c:pt>
                <c:pt idx="114">
                  <c:v>-102.41360850537716</c:v>
                </c:pt>
                <c:pt idx="115">
                  <c:v>-92.371723398618414</c:v>
                </c:pt>
                <c:pt idx="116">
                  <c:v>-82.329838291859673</c:v>
                </c:pt>
                <c:pt idx="117">
                  <c:v>-72.287953185103774</c:v>
                </c:pt>
                <c:pt idx="118">
                  <c:v>-62.246068078345033</c:v>
                </c:pt>
                <c:pt idx="119">
                  <c:v>-52.204182971586292</c:v>
                </c:pt>
                <c:pt idx="120">
                  <c:v>-42.162297864827551</c:v>
                </c:pt>
                <c:pt idx="121">
                  <c:v>-32.120412758068809</c:v>
                </c:pt>
                <c:pt idx="122">
                  <c:v>-22.078527651310065</c:v>
                </c:pt>
                <c:pt idx="123">
                  <c:v>-12.036642544551324</c:v>
                </c:pt>
                <c:pt idx="124">
                  <c:v>-1.9947574377925825</c:v>
                </c:pt>
                <c:pt idx="125">
                  <c:v>8.0471276689661586</c:v>
                </c:pt>
                <c:pt idx="126">
                  <c:v>18.0890127757249</c:v>
                </c:pt>
                <c:pt idx="127">
                  <c:v>28.130897882483641</c:v>
                </c:pt>
                <c:pt idx="128">
                  <c:v>38.172782989242378</c:v>
                </c:pt>
                <c:pt idx="129">
                  <c:v>48.21466809600112</c:v>
                </c:pt>
                <c:pt idx="130">
                  <c:v>58.256553202759861</c:v>
                </c:pt>
                <c:pt idx="131">
                  <c:v>68.298438309518602</c:v>
                </c:pt>
                <c:pt idx="132">
                  <c:v>78.340323416277343</c:v>
                </c:pt>
                <c:pt idx="133">
                  <c:v>88.382208523036084</c:v>
                </c:pt>
                <c:pt idx="134">
                  <c:v>98.424093629794825</c:v>
                </c:pt>
                <c:pt idx="135">
                  <c:v>108.46597873655357</c:v>
                </c:pt>
                <c:pt idx="136">
                  <c:v>118.50786384331231</c:v>
                </c:pt>
                <c:pt idx="137">
                  <c:v>128.54974895007106</c:v>
                </c:pt>
                <c:pt idx="138">
                  <c:v>138.5916340568298</c:v>
                </c:pt>
                <c:pt idx="139">
                  <c:v>148.63351916358855</c:v>
                </c:pt>
                <c:pt idx="140">
                  <c:v>158.67540427034729</c:v>
                </c:pt>
                <c:pt idx="141">
                  <c:v>168.71728937710603</c:v>
                </c:pt>
                <c:pt idx="142">
                  <c:v>178.75917448386477</c:v>
                </c:pt>
                <c:pt idx="143">
                  <c:v>188.80105959062351</c:v>
                </c:pt>
                <c:pt idx="144">
                  <c:v>198.84294469738225</c:v>
                </c:pt>
                <c:pt idx="145">
                  <c:v>208.88482980414099</c:v>
                </c:pt>
                <c:pt idx="146">
                  <c:v>218.92671491089973</c:v>
                </c:pt>
                <c:pt idx="147">
                  <c:v>228.96860001765847</c:v>
                </c:pt>
                <c:pt idx="148">
                  <c:v>239.01048512441722</c:v>
                </c:pt>
                <c:pt idx="149">
                  <c:v>249.05237023117596</c:v>
                </c:pt>
                <c:pt idx="150">
                  <c:v>259.09425533793183</c:v>
                </c:pt>
                <c:pt idx="151">
                  <c:v>269.13614044469057</c:v>
                </c:pt>
                <c:pt idx="152">
                  <c:v>279.17802555144931</c:v>
                </c:pt>
                <c:pt idx="153">
                  <c:v>289.21991065820805</c:v>
                </c:pt>
                <c:pt idx="154">
                  <c:v>299.26179576496679</c:v>
                </c:pt>
                <c:pt idx="155">
                  <c:v>309.30368087172553</c:v>
                </c:pt>
                <c:pt idx="156">
                  <c:v>319.34556597848427</c:v>
                </c:pt>
                <c:pt idx="157">
                  <c:v>329.38745108524301</c:v>
                </c:pt>
                <c:pt idx="158">
                  <c:v>339.42933619200176</c:v>
                </c:pt>
                <c:pt idx="159">
                  <c:v>349.4712212987605</c:v>
                </c:pt>
                <c:pt idx="160">
                  <c:v>359.51310640551924</c:v>
                </c:pt>
                <c:pt idx="161">
                  <c:v>369.55499151227798</c:v>
                </c:pt>
                <c:pt idx="162">
                  <c:v>379.59687661903672</c:v>
                </c:pt>
                <c:pt idx="163">
                  <c:v>389.63876172579546</c:v>
                </c:pt>
                <c:pt idx="164">
                  <c:v>399.6806468325542</c:v>
                </c:pt>
                <c:pt idx="165">
                  <c:v>409.72253193931294</c:v>
                </c:pt>
                <c:pt idx="166">
                  <c:v>419.76441704607169</c:v>
                </c:pt>
                <c:pt idx="167">
                  <c:v>429.80630215283043</c:v>
                </c:pt>
                <c:pt idx="168">
                  <c:v>439.84818725958917</c:v>
                </c:pt>
                <c:pt idx="169">
                  <c:v>449.89007236634791</c:v>
                </c:pt>
                <c:pt idx="170">
                  <c:v>459.93195747310665</c:v>
                </c:pt>
                <c:pt idx="171">
                  <c:v>469.97384257986539</c:v>
                </c:pt>
                <c:pt idx="172">
                  <c:v>480.01572768662413</c:v>
                </c:pt>
                <c:pt idx="173">
                  <c:v>490.05761279338287</c:v>
                </c:pt>
                <c:pt idx="174">
                  <c:v>500.09949790014161</c:v>
                </c:pt>
                <c:pt idx="175">
                  <c:v>510.14138300690036</c:v>
                </c:pt>
                <c:pt idx="176">
                  <c:v>520.1832681136591</c:v>
                </c:pt>
                <c:pt idx="177">
                  <c:v>530.22515322041784</c:v>
                </c:pt>
                <c:pt idx="178">
                  <c:v>540.26703832717658</c:v>
                </c:pt>
                <c:pt idx="179">
                  <c:v>550.30892343393532</c:v>
                </c:pt>
                <c:pt idx="180">
                  <c:v>560.35080854069406</c:v>
                </c:pt>
                <c:pt idx="181">
                  <c:v>570.3926936474528</c:v>
                </c:pt>
                <c:pt idx="182">
                  <c:v>580.43457875421154</c:v>
                </c:pt>
                <c:pt idx="183">
                  <c:v>590.47646386096744</c:v>
                </c:pt>
                <c:pt idx="184">
                  <c:v>600.51834896772903</c:v>
                </c:pt>
                <c:pt idx="185">
                  <c:v>610.56023407448492</c:v>
                </c:pt>
                <c:pt idx="186">
                  <c:v>620.60211918124367</c:v>
                </c:pt>
                <c:pt idx="187">
                  <c:v>630.64400428800241</c:v>
                </c:pt>
                <c:pt idx="188">
                  <c:v>640.68588939476115</c:v>
                </c:pt>
                <c:pt idx="189">
                  <c:v>650.72777450151989</c:v>
                </c:pt>
                <c:pt idx="190">
                  <c:v>660.76965960827863</c:v>
                </c:pt>
                <c:pt idx="191">
                  <c:v>670.81154471503737</c:v>
                </c:pt>
                <c:pt idx="192">
                  <c:v>680.85342982179611</c:v>
                </c:pt>
                <c:pt idx="193">
                  <c:v>690.89531492855485</c:v>
                </c:pt>
                <c:pt idx="194">
                  <c:v>700.93720003531359</c:v>
                </c:pt>
                <c:pt idx="195">
                  <c:v>710.97908514207234</c:v>
                </c:pt>
                <c:pt idx="196">
                  <c:v>721.02097024883108</c:v>
                </c:pt>
                <c:pt idx="197">
                  <c:v>731.06285535558982</c:v>
                </c:pt>
                <c:pt idx="198">
                  <c:v>741.10474046234856</c:v>
                </c:pt>
                <c:pt idx="199">
                  <c:v>751.1466255691073</c:v>
                </c:pt>
                <c:pt idx="200">
                  <c:v>761.18851067586604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575-40F8-954C-F04F2E14A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917952"/>
        <c:axId val="1331918368"/>
      </c:scatterChart>
      <c:scatterChart>
        <c:scatterStyle val="smoothMarker"/>
        <c:varyColors val="0"/>
        <c:ser>
          <c:idx val="1"/>
          <c:order val="1"/>
          <c:tx>
            <c:v>HPR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Utility!$E$2:$E$202</c:f>
              <c:numCache>
                <c:formatCode>_(* #,##0.00_);_(* \(#,##0.00\);_(* "-"??_);_(@_)</c:formatCode>
                <c:ptCount val="201"/>
                <c:pt idx="0">
                  <c:v>125.32811489324135</c:v>
                </c:pt>
                <c:pt idx="1">
                  <c:v>125.42853374430894</c:v>
                </c:pt>
                <c:pt idx="2">
                  <c:v>125.52895259537652</c:v>
                </c:pt>
                <c:pt idx="3">
                  <c:v>125.62937144644411</c:v>
                </c:pt>
                <c:pt idx="4">
                  <c:v>125.7297902975117</c:v>
                </c:pt>
                <c:pt idx="5">
                  <c:v>125.83020914857929</c:v>
                </c:pt>
                <c:pt idx="6">
                  <c:v>125.93062799964687</c:v>
                </c:pt>
                <c:pt idx="7">
                  <c:v>126.03104685071446</c:v>
                </c:pt>
                <c:pt idx="8">
                  <c:v>126.13146570178205</c:v>
                </c:pt>
                <c:pt idx="9">
                  <c:v>126.23188455284962</c:v>
                </c:pt>
                <c:pt idx="10">
                  <c:v>126.33230340391721</c:v>
                </c:pt>
                <c:pt idx="11">
                  <c:v>126.4327222549848</c:v>
                </c:pt>
                <c:pt idx="12">
                  <c:v>126.53314110605238</c:v>
                </c:pt>
                <c:pt idx="13">
                  <c:v>126.63355995711997</c:v>
                </c:pt>
                <c:pt idx="14">
                  <c:v>126.73397880818756</c:v>
                </c:pt>
                <c:pt idx="15">
                  <c:v>126.83439765925515</c:v>
                </c:pt>
                <c:pt idx="16">
                  <c:v>126.93481651032273</c:v>
                </c:pt>
                <c:pt idx="17">
                  <c:v>127.03523536139032</c:v>
                </c:pt>
                <c:pt idx="18">
                  <c:v>127.13565421245791</c:v>
                </c:pt>
                <c:pt idx="19">
                  <c:v>127.2360730635255</c:v>
                </c:pt>
                <c:pt idx="20">
                  <c:v>127.33649191459308</c:v>
                </c:pt>
                <c:pt idx="21">
                  <c:v>127.43691076566067</c:v>
                </c:pt>
                <c:pt idx="22">
                  <c:v>127.53732961672826</c:v>
                </c:pt>
                <c:pt idx="23">
                  <c:v>127.63774846779584</c:v>
                </c:pt>
                <c:pt idx="24">
                  <c:v>127.73816731886342</c:v>
                </c:pt>
                <c:pt idx="25">
                  <c:v>127.83858616993101</c:v>
                </c:pt>
                <c:pt idx="26">
                  <c:v>127.93900502099859</c:v>
                </c:pt>
                <c:pt idx="27">
                  <c:v>128.03942387206618</c:v>
                </c:pt>
                <c:pt idx="28">
                  <c:v>128.13984272313377</c:v>
                </c:pt>
                <c:pt idx="29">
                  <c:v>128.24026157420136</c:v>
                </c:pt>
                <c:pt idx="30">
                  <c:v>128.34068042526894</c:v>
                </c:pt>
                <c:pt idx="31">
                  <c:v>128.44109927633653</c:v>
                </c:pt>
                <c:pt idx="32">
                  <c:v>128.54151812740412</c:v>
                </c:pt>
                <c:pt idx="33">
                  <c:v>128.6419369784717</c:v>
                </c:pt>
                <c:pt idx="34">
                  <c:v>128.74235582953929</c:v>
                </c:pt>
                <c:pt idx="35">
                  <c:v>128.84277468060688</c:v>
                </c:pt>
                <c:pt idx="36">
                  <c:v>128.94319353167447</c:v>
                </c:pt>
                <c:pt idx="37">
                  <c:v>129.04361238274205</c:v>
                </c:pt>
                <c:pt idx="38">
                  <c:v>129.14403123380964</c:v>
                </c:pt>
                <c:pt idx="39">
                  <c:v>129.24445008487723</c:v>
                </c:pt>
                <c:pt idx="40">
                  <c:v>129.34486893594482</c:v>
                </c:pt>
                <c:pt idx="41">
                  <c:v>129.4452877870124</c:v>
                </c:pt>
                <c:pt idx="42">
                  <c:v>129.54570663807999</c:v>
                </c:pt>
                <c:pt idx="43">
                  <c:v>129.64612548914758</c:v>
                </c:pt>
                <c:pt idx="44">
                  <c:v>129.74654434021517</c:v>
                </c:pt>
                <c:pt idx="45">
                  <c:v>129.84696319128275</c:v>
                </c:pt>
                <c:pt idx="46">
                  <c:v>129.94738204235034</c:v>
                </c:pt>
                <c:pt idx="47">
                  <c:v>130.04780089341793</c:v>
                </c:pt>
                <c:pt idx="48">
                  <c:v>130.14821974448552</c:v>
                </c:pt>
                <c:pt idx="49">
                  <c:v>130.2486385955531</c:v>
                </c:pt>
                <c:pt idx="50">
                  <c:v>130.34905744662069</c:v>
                </c:pt>
                <c:pt idx="51">
                  <c:v>130.44947629768825</c:v>
                </c:pt>
                <c:pt idx="52">
                  <c:v>130.54989514875584</c:v>
                </c:pt>
                <c:pt idx="53">
                  <c:v>130.65031399982342</c:v>
                </c:pt>
                <c:pt idx="54">
                  <c:v>130.75073285089101</c:v>
                </c:pt>
                <c:pt idx="55">
                  <c:v>130.8511517019586</c:v>
                </c:pt>
                <c:pt idx="56">
                  <c:v>130.95157055302619</c:v>
                </c:pt>
                <c:pt idx="57">
                  <c:v>131.05198940409377</c:v>
                </c:pt>
                <c:pt idx="58">
                  <c:v>131.15240825516136</c:v>
                </c:pt>
                <c:pt idx="59">
                  <c:v>131.25282710622895</c:v>
                </c:pt>
                <c:pt idx="60">
                  <c:v>131.35324595729654</c:v>
                </c:pt>
                <c:pt idx="61">
                  <c:v>131.45366480836412</c:v>
                </c:pt>
                <c:pt idx="62">
                  <c:v>131.55408365943171</c:v>
                </c:pt>
                <c:pt idx="63">
                  <c:v>131.6545025104993</c:v>
                </c:pt>
                <c:pt idx="64">
                  <c:v>131.75492136156689</c:v>
                </c:pt>
                <c:pt idx="65">
                  <c:v>131.85534021263447</c:v>
                </c:pt>
                <c:pt idx="66">
                  <c:v>131.95575906370206</c:v>
                </c:pt>
                <c:pt idx="67">
                  <c:v>132.05617791476965</c:v>
                </c:pt>
                <c:pt idx="68">
                  <c:v>132.15659676583724</c:v>
                </c:pt>
                <c:pt idx="69">
                  <c:v>132.25701561690482</c:v>
                </c:pt>
                <c:pt idx="70">
                  <c:v>132.35743446797241</c:v>
                </c:pt>
                <c:pt idx="71">
                  <c:v>132.45785331904</c:v>
                </c:pt>
                <c:pt idx="72">
                  <c:v>132.55827217010759</c:v>
                </c:pt>
                <c:pt idx="73">
                  <c:v>132.65869102117517</c:v>
                </c:pt>
                <c:pt idx="74">
                  <c:v>132.75910987224276</c:v>
                </c:pt>
                <c:pt idx="75">
                  <c:v>132.85952872331035</c:v>
                </c:pt>
                <c:pt idx="76">
                  <c:v>132.95994757437794</c:v>
                </c:pt>
                <c:pt idx="77">
                  <c:v>133.06036642544552</c:v>
                </c:pt>
                <c:pt idx="78">
                  <c:v>133.16078527651311</c:v>
                </c:pt>
                <c:pt idx="79">
                  <c:v>133.2612041275807</c:v>
                </c:pt>
                <c:pt idx="80">
                  <c:v>133.36162297864828</c:v>
                </c:pt>
                <c:pt idx="81">
                  <c:v>133.46204182971587</c:v>
                </c:pt>
                <c:pt idx="82">
                  <c:v>133.56246068078346</c:v>
                </c:pt>
                <c:pt idx="83">
                  <c:v>133.66287953185105</c:v>
                </c:pt>
                <c:pt idx="84">
                  <c:v>133.76329838291861</c:v>
                </c:pt>
                <c:pt idx="85">
                  <c:v>133.86371723398619</c:v>
                </c:pt>
                <c:pt idx="86">
                  <c:v>133.96413608505378</c:v>
                </c:pt>
                <c:pt idx="87">
                  <c:v>134.06455493612137</c:v>
                </c:pt>
                <c:pt idx="88">
                  <c:v>134.16497378718896</c:v>
                </c:pt>
                <c:pt idx="89">
                  <c:v>134.26539263825654</c:v>
                </c:pt>
                <c:pt idx="90">
                  <c:v>134.36581148932413</c:v>
                </c:pt>
                <c:pt idx="91">
                  <c:v>134.46623034039172</c:v>
                </c:pt>
                <c:pt idx="92">
                  <c:v>134.56664919145931</c:v>
                </c:pt>
                <c:pt idx="93">
                  <c:v>134.66706804252689</c:v>
                </c:pt>
                <c:pt idx="94">
                  <c:v>134.76748689359448</c:v>
                </c:pt>
                <c:pt idx="95">
                  <c:v>134.86790574466207</c:v>
                </c:pt>
                <c:pt idx="96">
                  <c:v>134.96832459572965</c:v>
                </c:pt>
                <c:pt idx="97">
                  <c:v>135.06874344679724</c:v>
                </c:pt>
                <c:pt idx="98">
                  <c:v>135.16916229786483</c:v>
                </c:pt>
                <c:pt idx="99">
                  <c:v>135.26958114893242</c:v>
                </c:pt>
                <c:pt idx="100">
                  <c:v>135.37</c:v>
                </c:pt>
                <c:pt idx="101">
                  <c:v>135.47041885106759</c:v>
                </c:pt>
                <c:pt idx="102">
                  <c:v>135.57083770213518</c:v>
                </c:pt>
                <c:pt idx="103">
                  <c:v>135.67125655320277</c:v>
                </c:pt>
                <c:pt idx="104">
                  <c:v>135.77167540427035</c:v>
                </c:pt>
                <c:pt idx="105">
                  <c:v>135.87209425533794</c:v>
                </c:pt>
                <c:pt idx="106">
                  <c:v>135.97251310640553</c:v>
                </c:pt>
                <c:pt idx="107">
                  <c:v>136.07293195747312</c:v>
                </c:pt>
                <c:pt idx="108">
                  <c:v>136.1733508085407</c:v>
                </c:pt>
                <c:pt idx="109">
                  <c:v>136.27376965960829</c:v>
                </c:pt>
                <c:pt idx="110">
                  <c:v>136.37418851067588</c:v>
                </c:pt>
                <c:pt idx="111">
                  <c:v>136.47460736174347</c:v>
                </c:pt>
                <c:pt idx="112">
                  <c:v>136.57502621281105</c:v>
                </c:pt>
                <c:pt idx="113">
                  <c:v>136.67544506387864</c:v>
                </c:pt>
                <c:pt idx="114">
                  <c:v>136.77586391494623</c:v>
                </c:pt>
                <c:pt idx="115">
                  <c:v>136.87628276601382</c:v>
                </c:pt>
                <c:pt idx="116">
                  <c:v>136.9767016170814</c:v>
                </c:pt>
                <c:pt idx="117">
                  <c:v>137.07712046814896</c:v>
                </c:pt>
                <c:pt idx="118">
                  <c:v>137.17753931921655</c:v>
                </c:pt>
                <c:pt idx="119">
                  <c:v>137.27795817028414</c:v>
                </c:pt>
                <c:pt idx="120">
                  <c:v>137.37837702135172</c:v>
                </c:pt>
                <c:pt idx="121">
                  <c:v>137.47879587241931</c:v>
                </c:pt>
                <c:pt idx="122">
                  <c:v>137.5792147234869</c:v>
                </c:pt>
                <c:pt idx="123">
                  <c:v>137.67963357455449</c:v>
                </c:pt>
                <c:pt idx="124">
                  <c:v>137.78005242562207</c:v>
                </c:pt>
                <c:pt idx="125">
                  <c:v>137.88047127668966</c:v>
                </c:pt>
                <c:pt idx="126">
                  <c:v>137.98089012775725</c:v>
                </c:pt>
                <c:pt idx="127">
                  <c:v>138.08130897882484</c:v>
                </c:pt>
                <c:pt idx="128">
                  <c:v>138.18172782989242</c:v>
                </c:pt>
                <c:pt idx="129">
                  <c:v>138.28214668096001</c:v>
                </c:pt>
                <c:pt idx="130">
                  <c:v>138.3825655320276</c:v>
                </c:pt>
                <c:pt idx="131">
                  <c:v>138.48298438309519</c:v>
                </c:pt>
                <c:pt idx="132">
                  <c:v>138.58340323416277</c:v>
                </c:pt>
                <c:pt idx="133">
                  <c:v>138.68382208523036</c:v>
                </c:pt>
                <c:pt idx="134">
                  <c:v>138.78424093629795</c:v>
                </c:pt>
                <c:pt idx="135">
                  <c:v>138.88465978736554</c:v>
                </c:pt>
                <c:pt idx="136">
                  <c:v>138.98507863843312</c:v>
                </c:pt>
                <c:pt idx="137">
                  <c:v>139.08549748950071</c:v>
                </c:pt>
                <c:pt idx="138">
                  <c:v>139.1859163405683</c:v>
                </c:pt>
                <c:pt idx="139">
                  <c:v>139.28633519163589</c:v>
                </c:pt>
                <c:pt idx="140">
                  <c:v>139.38675404270347</c:v>
                </c:pt>
                <c:pt idx="141">
                  <c:v>139.48717289377106</c:v>
                </c:pt>
                <c:pt idx="142">
                  <c:v>139.58759174483865</c:v>
                </c:pt>
                <c:pt idx="143">
                  <c:v>139.68801059590623</c:v>
                </c:pt>
                <c:pt idx="144">
                  <c:v>139.78842944697382</c:v>
                </c:pt>
                <c:pt idx="145">
                  <c:v>139.88884829804141</c:v>
                </c:pt>
                <c:pt idx="146">
                  <c:v>139.989267149109</c:v>
                </c:pt>
                <c:pt idx="147">
                  <c:v>140.08968600017658</c:v>
                </c:pt>
                <c:pt idx="148">
                  <c:v>140.19010485124417</c:v>
                </c:pt>
                <c:pt idx="149">
                  <c:v>140.29052370231176</c:v>
                </c:pt>
                <c:pt idx="150">
                  <c:v>140.39094255337932</c:v>
                </c:pt>
                <c:pt idx="151">
                  <c:v>140.49136140444691</c:v>
                </c:pt>
                <c:pt idx="152">
                  <c:v>140.59178025551449</c:v>
                </c:pt>
                <c:pt idx="153">
                  <c:v>140.69219910658208</c:v>
                </c:pt>
                <c:pt idx="154">
                  <c:v>140.79261795764967</c:v>
                </c:pt>
                <c:pt idx="155">
                  <c:v>140.89303680871726</c:v>
                </c:pt>
                <c:pt idx="156">
                  <c:v>140.99345565978484</c:v>
                </c:pt>
                <c:pt idx="157">
                  <c:v>141.09387451085243</c:v>
                </c:pt>
                <c:pt idx="158">
                  <c:v>141.19429336192002</c:v>
                </c:pt>
                <c:pt idx="159">
                  <c:v>141.2947122129876</c:v>
                </c:pt>
                <c:pt idx="160">
                  <c:v>141.39513106405519</c:v>
                </c:pt>
                <c:pt idx="161">
                  <c:v>141.49554991512278</c:v>
                </c:pt>
                <c:pt idx="162">
                  <c:v>141.59596876619037</c:v>
                </c:pt>
                <c:pt idx="163">
                  <c:v>141.69638761725795</c:v>
                </c:pt>
                <c:pt idx="164">
                  <c:v>141.79680646832554</c:v>
                </c:pt>
                <c:pt idx="165">
                  <c:v>141.89722531939313</c:v>
                </c:pt>
                <c:pt idx="166">
                  <c:v>141.99764417046072</c:v>
                </c:pt>
                <c:pt idx="167">
                  <c:v>142.0980630215283</c:v>
                </c:pt>
                <c:pt idx="168">
                  <c:v>142.19848187259589</c:v>
                </c:pt>
                <c:pt idx="169">
                  <c:v>142.29890072366348</c:v>
                </c:pt>
                <c:pt idx="170">
                  <c:v>142.39931957473107</c:v>
                </c:pt>
                <c:pt idx="171">
                  <c:v>142.49973842579865</c:v>
                </c:pt>
                <c:pt idx="172">
                  <c:v>142.60015727686624</c:v>
                </c:pt>
                <c:pt idx="173">
                  <c:v>142.70057612793383</c:v>
                </c:pt>
                <c:pt idx="174">
                  <c:v>142.80099497900142</c:v>
                </c:pt>
                <c:pt idx="175">
                  <c:v>142.901413830069</c:v>
                </c:pt>
                <c:pt idx="176">
                  <c:v>143.00183268113659</c:v>
                </c:pt>
                <c:pt idx="177">
                  <c:v>143.10225153220418</c:v>
                </c:pt>
                <c:pt idx="178">
                  <c:v>143.20267038327177</c:v>
                </c:pt>
                <c:pt idx="179">
                  <c:v>143.30308923433935</c:v>
                </c:pt>
                <c:pt idx="180">
                  <c:v>143.40350808540694</c:v>
                </c:pt>
                <c:pt idx="181">
                  <c:v>143.50392693647453</c:v>
                </c:pt>
                <c:pt idx="182">
                  <c:v>143.60434578754212</c:v>
                </c:pt>
                <c:pt idx="183">
                  <c:v>143.70476463860967</c:v>
                </c:pt>
                <c:pt idx="184">
                  <c:v>143.80518348967729</c:v>
                </c:pt>
                <c:pt idx="185">
                  <c:v>143.90560234074485</c:v>
                </c:pt>
                <c:pt idx="186">
                  <c:v>144.00602119181244</c:v>
                </c:pt>
                <c:pt idx="187">
                  <c:v>144.10644004288002</c:v>
                </c:pt>
                <c:pt idx="188">
                  <c:v>144.20685889394761</c:v>
                </c:pt>
                <c:pt idx="189">
                  <c:v>144.3072777450152</c:v>
                </c:pt>
                <c:pt idx="190">
                  <c:v>144.40769659608279</c:v>
                </c:pt>
                <c:pt idx="191">
                  <c:v>144.50811544715037</c:v>
                </c:pt>
                <c:pt idx="192">
                  <c:v>144.60853429821796</c:v>
                </c:pt>
                <c:pt idx="193">
                  <c:v>144.70895314928555</c:v>
                </c:pt>
                <c:pt idx="194">
                  <c:v>144.80937200035314</c:v>
                </c:pt>
                <c:pt idx="195">
                  <c:v>144.90979085142072</c:v>
                </c:pt>
                <c:pt idx="196">
                  <c:v>145.01020970248831</c:v>
                </c:pt>
                <c:pt idx="197">
                  <c:v>145.1106285535559</c:v>
                </c:pt>
                <c:pt idx="198">
                  <c:v>145.21104740462349</c:v>
                </c:pt>
                <c:pt idx="199">
                  <c:v>145.31146625569107</c:v>
                </c:pt>
                <c:pt idx="200">
                  <c:v>145.41188510675866</c:v>
                </c:pt>
              </c:numCache>
            </c:numRef>
          </c:xVal>
          <c:yVal>
            <c:numRef>
              <c:f>Utility!$G$2:$G$202</c:f>
              <c:numCache>
                <c:formatCode>0%</c:formatCode>
                <c:ptCount val="20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-0.97544876900098487</c:v>
                </c:pt>
                <c:pt idx="98">
                  <c:v>-0.93958489361970365</c:v>
                </c:pt>
                <c:pt idx="99">
                  <c:v>-0.90372101823842232</c:v>
                </c:pt>
                <c:pt idx="100">
                  <c:v>-0.86785714285714111</c:v>
                </c:pt>
                <c:pt idx="101">
                  <c:v>-0.83199326747585989</c:v>
                </c:pt>
                <c:pt idx="102">
                  <c:v>-0.79612939209457867</c:v>
                </c:pt>
                <c:pt idx="103">
                  <c:v>-0.76026551671329745</c:v>
                </c:pt>
                <c:pt idx="104">
                  <c:v>-0.72440164133201623</c:v>
                </c:pt>
                <c:pt idx="105">
                  <c:v>-0.68853776595073501</c:v>
                </c:pt>
                <c:pt idx="106">
                  <c:v>-0.6526738905694538</c:v>
                </c:pt>
                <c:pt idx="107">
                  <c:v>-0.61681001518817258</c:v>
                </c:pt>
                <c:pt idx="108">
                  <c:v>-0.58094613980689136</c:v>
                </c:pt>
                <c:pt idx="109">
                  <c:v>-0.54508226442561014</c:v>
                </c:pt>
                <c:pt idx="110">
                  <c:v>-0.50921838904432892</c:v>
                </c:pt>
                <c:pt idx="111">
                  <c:v>-0.4733545136630477</c:v>
                </c:pt>
                <c:pt idx="112">
                  <c:v>-0.43749063828176654</c:v>
                </c:pt>
                <c:pt idx="113">
                  <c:v>-0.40162676290048532</c:v>
                </c:pt>
                <c:pt idx="114">
                  <c:v>-0.36576288751920411</c:v>
                </c:pt>
                <c:pt idx="115">
                  <c:v>-0.32989901213792289</c:v>
                </c:pt>
                <c:pt idx="116">
                  <c:v>-0.29403513675664167</c:v>
                </c:pt>
                <c:pt idx="117">
                  <c:v>-0.25817126137537061</c:v>
                </c:pt>
                <c:pt idx="118">
                  <c:v>-0.22230738599408939</c:v>
                </c:pt>
                <c:pt idx="119">
                  <c:v>-0.18644351061280817</c:v>
                </c:pt>
                <c:pt idx="120">
                  <c:v>-0.15057963523152695</c:v>
                </c:pt>
                <c:pt idx="121">
                  <c:v>-0.11471575985024575</c:v>
                </c:pt>
                <c:pt idx="122">
                  <c:v>-7.8851884468964517E-2</c:v>
                </c:pt>
                <c:pt idx="123">
                  <c:v>-4.2988009087683299E-2</c:v>
                </c:pt>
                <c:pt idx="124">
                  <c:v>-7.1241337064020804E-3</c:v>
                </c:pt>
                <c:pt idx="125">
                  <c:v>2.8739741674879138E-2</c:v>
                </c:pt>
                <c:pt idx="126">
                  <c:v>6.4603617056160356E-2</c:v>
                </c:pt>
                <c:pt idx="127">
                  <c:v>0.10046749243744157</c:v>
                </c:pt>
                <c:pt idx="128">
                  <c:v>0.13633136781872279</c:v>
                </c:pt>
                <c:pt idx="129">
                  <c:v>0.17219524320000401</c:v>
                </c:pt>
                <c:pt idx="130">
                  <c:v>0.20805911858128523</c:v>
                </c:pt>
                <c:pt idx="131">
                  <c:v>0.24392299396256645</c:v>
                </c:pt>
                <c:pt idx="132">
                  <c:v>0.27978686934384767</c:v>
                </c:pt>
                <c:pt idx="133">
                  <c:v>0.31565074472512888</c:v>
                </c:pt>
                <c:pt idx="134">
                  <c:v>0.3515146201064101</c:v>
                </c:pt>
                <c:pt idx="135">
                  <c:v>0.38737849548769132</c:v>
                </c:pt>
                <c:pt idx="136">
                  <c:v>0.42324237086897254</c:v>
                </c:pt>
                <c:pt idx="137">
                  <c:v>0.45910624625025381</c:v>
                </c:pt>
                <c:pt idx="138">
                  <c:v>0.49497012163153503</c:v>
                </c:pt>
                <c:pt idx="139">
                  <c:v>0.53083399701281619</c:v>
                </c:pt>
                <c:pt idx="140">
                  <c:v>0.56669787239409741</c:v>
                </c:pt>
                <c:pt idx="141">
                  <c:v>0.60256174777537863</c:v>
                </c:pt>
                <c:pt idx="142">
                  <c:v>0.63842562315665985</c:v>
                </c:pt>
                <c:pt idx="143">
                  <c:v>0.67428949853794107</c:v>
                </c:pt>
                <c:pt idx="144">
                  <c:v>0.71015337391922229</c:v>
                </c:pt>
                <c:pt idx="145">
                  <c:v>0.7460172493005035</c:v>
                </c:pt>
                <c:pt idx="146">
                  <c:v>0.78188112468178472</c:v>
                </c:pt>
                <c:pt idx="147">
                  <c:v>0.81774500006306594</c:v>
                </c:pt>
                <c:pt idx="148">
                  <c:v>0.85360887544434716</c:v>
                </c:pt>
                <c:pt idx="149">
                  <c:v>0.88947275082562838</c:v>
                </c:pt>
                <c:pt idx="150">
                  <c:v>0.92533662620689938</c:v>
                </c:pt>
                <c:pt idx="151">
                  <c:v>0.9612005015881806</c:v>
                </c:pt>
                <c:pt idx="152">
                  <c:v>0.99706437696946182</c:v>
                </c:pt>
                <c:pt idx="153">
                  <c:v>1.032928252350743</c:v>
                </c:pt>
                <c:pt idx="154">
                  <c:v>1.0687921277320243</c:v>
                </c:pt>
                <c:pt idx="155">
                  <c:v>1.1046560031133055</c:v>
                </c:pt>
                <c:pt idx="156">
                  <c:v>1.1405198784945867</c:v>
                </c:pt>
                <c:pt idx="157">
                  <c:v>1.1763837538758679</c:v>
                </c:pt>
                <c:pt idx="158">
                  <c:v>1.2122476292571491</c:v>
                </c:pt>
                <c:pt idx="159">
                  <c:v>1.2481115046384303</c:v>
                </c:pt>
                <c:pt idx="160">
                  <c:v>1.2839753800197116</c:v>
                </c:pt>
                <c:pt idx="161">
                  <c:v>1.3198392554009928</c:v>
                </c:pt>
                <c:pt idx="162">
                  <c:v>1.355703130782274</c:v>
                </c:pt>
                <c:pt idx="163">
                  <c:v>1.3915670061635552</c:v>
                </c:pt>
                <c:pt idx="164">
                  <c:v>1.4274308815448364</c:v>
                </c:pt>
                <c:pt idx="165">
                  <c:v>1.4632947569261177</c:v>
                </c:pt>
                <c:pt idx="166">
                  <c:v>1.4991586323073989</c:v>
                </c:pt>
                <c:pt idx="167">
                  <c:v>1.5350225076886801</c:v>
                </c:pt>
                <c:pt idx="168">
                  <c:v>1.5708863830699613</c:v>
                </c:pt>
                <c:pt idx="169">
                  <c:v>1.6067502584512425</c:v>
                </c:pt>
                <c:pt idx="170">
                  <c:v>1.6426141338325237</c:v>
                </c:pt>
                <c:pt idx="171">
                  <c:v>1.678478009213805</c:v>
                </c:pt>
                <c:pt idx="172">
                  <c:v>1.7143418845950862</c:v>
                </c:pt>
                <c:pt idx="173">
                  <c:v>1.7502057599763674</c:v>
                </c:pt>
                <c:pt idx="174">
                  <c:v>1.7860696353576486</c:v>
                </c:pt>
                <c:pt idx="175">
                  <c:v>1.8219335107389298</c:v>
                </c:pt>
                <c:pt idx="176">
                  <c:v>1.8577973861202111</c:v>
                </c:pt>
                <c:pt idx="177">
                  <c:v>1.8936612615014923</c:v>
                </c:pt>
                <c:pt idx="178">
                  <c:v>1.9295251368827735</c:v>
                </c:pt>
                <c:pt idx="179">
                  <c:v>1.9653890122640547</c:v>
                </c:pt>
                <c:pt idx="180">
                  <c:v>2.0012528876453359</c:v>
                </c:pt>
                <c:pt idx="181">
                  <c:v>2.0371167630266171</c:v>
                </c:pt>
                <c:pt idx="182">
                  <c:v>2.0729806384078984</c:v>
                </c:pt>
                <c:pt idx="183">
                  <c:v>2.1088445137891694</c:v>
                </c:pt>
                <c:pt idx="184">
                  <c:v>2.1447083891704608</c:v>
                </c:pt>
                <c:pt idx="185">
                  <c:v>2.1805722645517318</c:v>
                </c:pt>
                <c:pt idx="186">
                  <c:v>2.216436139933013</c:v>
                </c:pt>
                <c:pt idx="187">
                  <c:v>2.2523000153142942</c:v>
                </c:pt>
                <c:pt idx="188">
                  <c:v>2.2881638906955755</c:v>
                </c:pt>
                <c:pt idx="189">
                  <c:v>2.3240277660768567</c:v>
                </c:pt>
                <c:pt idx="190">
                  <c:v>2.3598916414581379</c:v>
                </c:pt>
                <c:pt idx="191">
                  <c:v>2.3957555168394191</c:v>
                </c:pt>
                <c:pt idx="192">
                  <c:v>2.4316193922207003</c:v>
                </c:pt>
                <c:pt idx="193">
                  <c:v>2.4674832676019816</c:v>
                </c:pt>
                <c:pt idx="194">
                  <c:v>2.5033471429832628</c:v>
                </c:pt>
                <c:pt idx="195">
                  <c:v>2.539211018364544</c:v>
                </c:pt>
                <c:pt idx="196">
                  <c:v>2.5750748937458252</c:v>
                </c:pt>
                <c:pt idx="197">
                  <c:v>2.6109387691271064</c:v>
                </c:pt>
                <c:pt idx="198">
                  <c:v>2.6468026445083876</c:v>
                </c:pt>
                <c:pt idx="199">
                  <c:v>2.6826665198896689</c:v>
                </c:pt>
                <c:pt idx="200">
                  <c:v>2.7185303952709501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75-40F8-954C-F04F2E14A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486495"/>
        <c:axId val="129481503"/>
      </c:scatterChart>
      <c:valAx>
        <c:axId val="133191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Spot ($)</a:t>
                </a:r>
              </a:p>
            </c:rich>
          </c:tx>
          <c:layout>
            <c:manualLayout>
              <c:xMode val="edge"/>
              <c:yMode val="edge"/>
              <c:x val="0.45868761847477391"/>
              <c:y val="0.75750227436709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31918368"/>
        <c:crosses val="autoZero"/>
        <c:crossBetween val="midCat"/>
      </c:valAx>
      <c:valAx>
        <c:axId val="13319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Utility ($)</a:t>
                </a:r>
                <a:endParaRPr lang="es-MX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31917952"/>
        <c:crosses val="autoZero"/>
        <c:crossBetween val="midCat"/>
      </c:valAx>
      <c:valAx>
        <c:axId val="12948150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HPR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9486495"/>
        <c:crosses val="max"/>
        <c:crossBetween val="midCat"/>
      </c:valAx>
      <c:valAx>
        <c:axId val="129486495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1294815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65034448818896"/>
          <c:y val="4.6963045548509996E-2"/>
          <c:w val="0.75818745313085867"/>
          <c:h val="0.60596764453115926"/>
        </c:manualLayout>
      </c:layout>
      <c:scatterChart>
        <c:scatterStyle val="smoothMarker"/>
        <c:varyColors val="0"/>
        <c:ser>
          <c:idx val="0"/>
          <c:order val="0"/>
          <c:tx>
            <c:v>Price vs. ytm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OptionsPlots!$I$2:$I$102</c:f>
              <c:numCache>
                <c:formatCode>_(* #,##0.000_);_(* \(#,##0.000\);_(* "-"??_);_(@_)</c:formatCode>
                <c:ptCount val="101"/>
                <c:pt idx="0">
                  <c:v>-4.5930926081916642E-10</c:v>
                </c:pt>
                <c:pt idx="1">
                  <c:v>2.6494226738808693E-4</c:v>
                </c:pt>
                <c:pt idx="2">
                  <c:v>5.2988499408543463E-4</c:v>
                </c:pt>
                <c:pt idx="3">
                  <c:v>7.9482772078278243E-4</c:v>
                </c:pt>
                <c:pt idx="4">
                  <c:v>1.05977044748013E-3</c:v>
                </c:pt>
                <c:pt idx="5">
                  <c:v>1.3247131741774779E-3</c:v>
                </c:pt>
                <c:pt idx="6">
                  <c:v>1.5896559008748256E-3</c:v>
                </c:pt>
                <c:pt idx="7">
                  <c:v>1.8545986275721733E-3</c:v>
                </c:pt>
                <c:pt idx="8">
                  <c:v>2.1195413542695212E-3</c:v>
                </c:pt>
                <c:pt idx="9">
                  <c:v>2.3844840809668687E-3</c:v>
                </c:pt>
                <c:pt idx="10">
                  <c:v>2.6494268076642166E-3</c:v>
                </c:pt>
                <c:pt idx="11">
                  <c:v>2.9143695343615641E-3</c:v>
                </c:pt>
                <c:pt idx="12">
                  <c:v>3.179312261058912E-3</c:v>
                </c:pt>
                <c:pt idx="13">
                  <c:v>3.4442549877562599E-3</c:v>
                </c:pt>
                <c:pt idx="14">
                  <c:v>3.7091977144536074E-3</c:v>
                </c:pt>
                <c:pt idx="15">
                  <c:v>3.9741404411509553E-3</c:v>
                </c:pt>
                <c:pt idx="16">
                  <c:v>4.2390831678483032E-3</c:v>
                </c:pt>
                <c:pt idx="17">
                  <c:v>4.5040258945456503E-3</c:v>
                </c:pt>
                <c:pt idx="18">
                  <c:v>4.7689686212429982E-3</c:v>
                </c:pt>
                <c:pt idx="19">
                  <c:v>5.0339113479403461E-3</c:v>
                </c:pt>
                <c:pt idx="20">
                  <c:v>5.298854074637694E-3</c:v>
                </c:pt>
                <c:pt idx="21">
                  <c:v>5.5637968013350419E-3</c:v>
                </c:pt>
                <c:pt idx="22">
                  <c:v>5.828739528032389E-3</c:v>
                </c:pt>
                <c:pt idx="23">
                  <c:v>6.0936822547297369E-3</c:v>
                </c:pt>
                <c:pt idx="24">
                  <c:v>6.3586249814270848E-3</c:v>
                </c:pt>
                <c:pt idx="25">
                  <c:v>6.6235677081244327E-3</c:v>
                </c:pt>
                <c:pt idx="26">
                  <c:v>6.8885104348217806E-3</c:v>
                </c:pt>
                <c:pt idx="27">
                  <c:v>7.1534531615191277E-3</c:v>
                </c:pt>
                <c:pt idx="28">
                  <c:v>7.4183958882164756E-3</c:v>
                </c:pt>
                <c:pt idx="29">
                  <c:v>7.6833386149138235E-3</c:v>
                </c:pt>
                <c:pt idx="30">
                  <c:v>7.9482813416111714E-3</c:v>
                </c:pt>
                <c:pt idx="31">
                  <c:v>8.2132240683085184E-3</c:v>
                </c:pt>
                <c:pt idx="32">
                  <c:v>8.4781667950058672E-3</c:v>
                </c:pt>
                <c:pt idx="33">
                  <c:v>8.7431095217032143E-3</c:v>
                </c:pt>
                <c:pt idx="34">
                  <c:v>9.0080522484005613E-3</c:v>
                </c:pt>
                <c:pt idx="35">
                  <c:v>9.2729949750979101E-3</c:v>
                </c:pt>
                <c:pt idx="36">
                  <c:v>9.5379377017952571E-3</c:v>
                </c:pt>
                <c:pt idx="37">
                  <c:v>9.8028804284926059E-3</c:v>
                </c:pt>
                <c:pt idx="38">
                  <c:v>1.0067823155189953E-2</c:v>
                </c:pt>
                <c:pt idx="39">
                  <c:v>1.03327658818873E-2</c:v>
                </c:pt>
                <c:pt idx="40">
                  <c:v>1.0597708608584649E-2</c:v>
                </c:pt>
                <c:pt idx="41">
                  <c:v>1.0862651335281996E-2</c:v>
                </c:pt>
                <c:pt idx="42">
                  <c:v>1.1127594061979345E-2</c:v>
                </c:pt>
                <c:pt idx="43">
                  <c:v>1.1392536788676692E-2</c:v>
                </c:pt>
                <c:pt idx="44">
                  <c:v>1.1657479515374039E-2</c:v>
                </c:pt>
                <c:pt idx="45">
                  <c:v>1.1922422242071387E-2</c:v>
                </c:pt>
                <c:pt idx="46">
                  <c:v>1.2187364968768735E-2</c:v>
                </c:pt>
                <c:pt idx="47">
                  <c:v>1.2452307695466083E-2</c:v>
                </c:pt>
                <c:pt idx="48">
                  <c:v>1.271725042216343E-2</c:v>
                </c:pt>
                <c:pt idx="49">
                  <c:v>1.2982193148860777E-2</c:v>
                </c:pt>
                <c:pt idx="50">
                  <c:v>1.3247135875558126E-2</c:v>
                </c:pt>
                <c:pt idx="51">
                  <c:v>1.3512078602255473E-2</c:v>
                </c:pt>
                <c:pt idx="52">
                  <c:v>1.3777021328952822E-2</c:v>
                </c:pt>
                <c:pt idx="53">
                  <c:v>1.4041964055650169E-2</c:v>
                </c:pt>
                <c:pt idx="54">
                  <c:v>1.4306906782347516E-2</c:v>
                </c:pt>
                <c:pt idx="55">
                  <c:v>1.4571849509044865E-2</c:v>
                </c:pt>
                <c:pt idx="56">
                  <c:v>1.4836792235742212E-2</c:v>
                </c:pt>
                <c:pt idx="57">
                  <c:v>1.5101734962439561E-2</c:v>
                </c:pt>
                <c:pt idx="58">
                  <c:v>1.5366677689136908E-2</c:v>
                </c:pt>
                <c:pt idx="59">
                  <c:v>1.5631620415834255E-2</c:v>
                </c:pt>
                <c:pt idx="60">
                  <c:v>1.5896563142531604E-2</c:v>
                </c:pt>
                <c:pt idx="61">
                  <c:v>1.6161505869228952E-2</c:v>
                </c:pt>
                <c:pt idx="62">
                  <c:v>1.6426448595926298E-2</c:v>
                </c:pt>
                <c:pt idx="63">
                  <c:v>1.6691391322623646E-2</c:v>
                </c:pt>
                <c:pt idx="64">
                  <c:v>1.6956334049320995E-2</c:v>
                </c:pt>
                <c:pt idx="65">
                  <c:v>1.7221276776018341E-2</c:v>
                </c:pt>
                <c:pt idx="66">
                  <c:v>1.7486219502715689E-2</c:v>
                </c:pt>
                <c:pt idx="67">
                  <c:v>1.7751162229413038E-2</c:v>
                </c:pt>
                <c:pt idx="68">
                  <c:v>1.8016104956110383E-2</c:v>
                </c:pt>
                <c:pt idx="69">
                  <c:v>1.8281047682807732E-2</c:v>
                </c:pt>
                <c:pt idx="70">
                  <c:v>1.8545990409505081E-2</c:v>
                </c:pt>
                <c:pt idx="71">
                  <c:v>1.881093313620243E-2</c:v>
                </c:pt>
                <c:pt idx="72">
                  <c:v>1.9075875862899775E-2</c:v>
                </c:pt>
                <c:pt idx="73">
                  <c:v>1.9340818589597124E-2</c:v>
                </c:pt>
                <c:pt idx="74">
                  <c:v>1.9605761316294473E-2</c:v>
                </c:pt>
                <c:pt idx="75">
                  <c:v>1.9870704042991818E-2</c:v>
                </c:pt>
                <c:pt idx="76">
                  <c:v>2.0135646769689167E-2</c:v>
                </c:pt>
                <c:pt idx="77">
                  <c:v>2.0400589496386515E-2</c:v>
                </c:pt>
                <c:pt idx="78">
                  <c:v>2.0665532223083861E-2</c:v>
                </c:pt>
                <c:pt idx="79">
                  <c:v>2.093047494978121E-2</c:v>
                </c:pt>
                <c:pt idx="80">
                  <c:v>2.1195417676478558E-2</c:v>
                </c:pt>
                <c:pt idx="81">
                  <c:v>2.1460360403175907E-2</c:v>
                </c:pt>
                <c:pt idx="82">
                  <c:v>2.1725303129873252E-2</c:v>
                </c:pt>
                <c:pt idx="83">
                  <c:v>2.1990245856570601E-2</c:v>
                </c:pt>
                <c:pt idx="84">
                  <c:v>2.225518858326795E-2</c:v>
                </c:pt>
                <c:pt idx="85">
                  <c:v>2.2520131309965295E-2</c:v>
                </c:pt>
                <c:pt idx="86">
                  <c:v>2.2785074036662644E-2</c:v>
                </c:pt>
                <c:pt idx="87">
                  <c:v>2.3050016763359993E-2</c:v>
                </c:pt>
                <c:pt idx="88">
                  <c:v>2.3314959490057338E-2</c:v>
                </c:pt>
                <c:pt idx="89">
                  <c:v>2.3579902216754687E-2</c:v>
                </c:pt>
                <c:pt idx="90">
                  <c:v>2.3844844943452036E-2</c:v>
                </c:pt>
                <c:pt idx="91">
                  <c:v>2.4109787670149384E-2</c:v>
                </c:pt>
                <c:pt idx="92">
                  <c:v>2.437473039684673E-2</c:v>
                </c:pt>
                <c:pt idx="93">
                  <c:v>2.4639673123544079E-2</c:v>
                </c:pt>
                <c:pt idx="94">
                  <c:v>2.4904615850241427E-2</c:v>
                </c:pt>
                <c:pt idx="95">
                  <c:v>2.5169558576938773E-2</c:v>
                </c:pt>
                <c:pt idx="96">
                  <c:v>2.5434501303636121E-2</c:v>
                </c:pt>
                <c:pt idx="97">
                  <c:v>2.569944403033347E-2</c:v>
                </c:pt>
                <c:pt idx="98">
                  <c:v>2.5964386757030816E-2</c:v>
                </c:pt>
                <c:pt idx="99">
                  <c:v>2.6229329483728164E-2</c:v>
                </c:pt>
                <c:pt idx="100">
                  <c:v>2.6494272210425513E-2</c:v>
                </c:pt>
              </c:numCache>
            </c:numRef>
          </c:xVal>
          <c:yVal>
            <c:numRef>
              <c:f>OptionsPlots!$J$2:$J$102</c:f>
              <c:numCache>
                <c:formatCode>_("$"* #,##0.0_);_("$"* \(#,##0.0\);_("$"* "-"??_);_(@_)</c:formatCode>
                <c:ptCount val="101"/>
                <c:pt idx="0">
                  <c:v>101.37704779596004</c:v>
                </c:pt>
                <c:pt idx="1">
                  <c:v>105.29596255307527</c:v>
                </c:pt>
                <c:pt idx="2">
                  <c:v>109.04484402932992</c:v>
                </c:pt>
                <c:pt idx="3">
                  <c:v>112.6440117611146</c:v>
                </c:pt>
                <c:pt idx="4">
                  <c:v>116.11003589194615</c:v>
                </c:pt>
                <c:pt idx="5">
                  <c:v>119.45663933995291</c:v>
                </c:pt>
                <c:pt idx="6">
                  <c:v>122.69533878341714</c:v>
                </c:pt>
                <c:pt idx="7">
                  <c:v>125.83591130408746</c:v>
                </c:pt>
                <c:pt idx="8">
                  <c:v>128.88674134766259</c:v>
                </c:pt>
                <c:pt idx="9">
                  <c:v>131.85508349908915</c:v>
                </c:pt>
                <c:pt idx="10">
                  <c:v>134.74726476313668</c:v>
                </c:pt>
                <c:pt idx="11">
                  <c:v>137.56884254488148</c:v>
                </c:pt>
                <c:pt idx="12">
                  <c:v>140.32472963853758</c:v>
                </c:pt>
                <c:pt idx="13">
                  <c:v>143.01929427263917</c:v>
                </c:pt>
                <c:pt idx="14">
                  <c:v>145.65644103776017</c:v>
                </c:pt>
                <c:pt idx="15">
                  <c:v>148.23967698012012</c:v>
                </c:pt>
                <c:pt idx="16">
                  <c:v>150.77216605455857</c:v>
                </c:pt>
                <c:pt idx="17">
                  <c:v>153.25677434842498</c:v>
                </c:pt>
                <c:pt idx="18">
                  <c:v>155.69610791891591</c:v>
                </c:pt>
                <c:pt idx="19">
                  <c:v>158.09254466686752</c:v>
                </c:pt>
                <c:pt idx="20">
                  <c:v>160.44826135695254</c:v>
                </c:pt>
                <c:pt idx="21">
                  <c:v>162.76525665809964</c:v>
                </c:pt>
                <c:pt idx="22">
                  <c:v>165.04537089788622</c:v>
                </c:pt>
                <c:pt idx="23">
                  <c:v>167.29030308614321</c:v>
                </c:pt>
                <c:pt idx="24">
                  <c:v>169.50162565541439</c:v>
                </c:pt>
                <c:pt idx="25">
                  <c:v>171.68079728170383</c:v>
                </c:pt>
                <c:pt idx="26">
                  <c:v>173.82917408251183</c:v>
                </c:pt>
                <c:pt idx="27">
                  <c:v>175.94801943632066</c:v>
                </c:pt>
                <c:pt idx="28">
                  <c:v>178.03851262542526</c:v>
                </c:pt>
                <c:pt idx="29">
                  <c:v>180.10175646998695</c:v>
                </c:pt>
                <c:pt idx="30">
                  <c:v>182.13878409357923</c:v>
                </c:pt>
                <c:pt idx="31">
                  <c:v>184.1505649380284</c:v>
                </c:pt>
                <c:pt idx="32">
                  <c:v>186.13801012687821</c:v>
                </c:pt>
                <c:pt idx="33">
                  <c:v>188.10197726171353</c:v>
                </c:pt>
                <c:pt idx="34">
                  <c:v>190.04327472293019</c:v>
                </c:pt>
                <c:pt idx="35">
                  <c:v>191.96266553613225</c:v>
                </c:pt>
                <c:pt idx="36">
                  <c:v>193.86087085660731</c:v>
                </c:pt>
                <c:pt idx="37">
                  <c:v>195.73857311700337</c:v>
                </c:pt>
                <c:pt idx="38">
                  <c:v>197.59641887713627</c:v>
                </c:pt>
                <c:pt idx="39">
                  <c:v>199.43502140971398</c:v>
                </c:pt>
                <c:pt idx="40">
                  <c:v>201.25496305122562</c:v>
                </c:pt>
                <c:pt idx="41">
                  <c:v>203.05679734360814</c:v>
                </c:pt>
                <c:pt idx="42">
                  <c:v>204.84105098896285</c:v>
                </c:pt>
                <c:pt idx="43">
                  <c:v>206.60822563691775</c:v>
                </c:pt>
                <c:pt idx="44">
                  <c:v>208.35879952180042</c:v>
                </c:pt>
                <c:pt idx="45">
                  <c:v>210.09322896476675</c:v>
                </c:pt>
                <c:pt idx="46">
                  <c:v>211.81194975428221</c:v>
                </c:pt>
                <c:pt idx="47">
                  <c:v>213.51537841673394</c:v>
                </c:pt>
                <c:pt idx="48">
                  <c:v>215.20391338772927</c:v>
                </c:pt>
                <c:pt idx="49">
                  <c:v>216.87793609335921</c:v>
                </c:pt>
                <c:pt idx="50">
                  <c:v>218.53781194978325</c:v>
                </c:pt>
                <c:pt idx="51">
                  <c:v>220.18389128852402</c:v>
                </c:pt>
                <c:pt idx="52">
                  <c:v>221.81651021412017</c:v>
                </c:pt>
                <c:pt idx="53">
                  <c:v>223.4359914000959</c:v>
                </c:pt>
                <c:pt idx="54">
                  <c:v>225.04264482855439</c:v>
                </c:pt>
                <c:pt idx="55">
                  <c:v>226.63676847824695</c:v>
                </c:pt>
                <c:pt idx="56">
                  <c:v>228.21864896537778</c:v>
                </c:pt>
                <c:pt idx="57">
                  <c:v>229.78856214111053</c:v>
                </c:pt>
                <c:pt idx="58">
                  <c:v>231.34677364925923</c:v>
                </c:pt>
                <c:pt idx="59">
                  <c:v>232.89353944739455</c:v>
                </c:pt>
                <c:pt idx="60">
                  <c:v>234.42910629420211</c:v>
                </c:pt>
                <c:pt idx="61">
                  <c:v>235.95371220579167</c:v>
                </c:pt>
                <c:pt idx="62">
                  <c:v>237.46758688329507</c:v>
                </c:pt>
                <c:pt idx="63">
                  <c:v>238.97095211395259</c:v>
                </c:pt>
                <c:pt idx="64">
                  <c:v>240.46402214765149</c:v>
                </c:pt>
                <c:pt idx="65">
                  <c:v>241.94700405074542</c:v>
                </c:pt>
                <c:pt idx="66">
                  <c:v>243.42009803881214</c:v>
                </c:pt>
                <c:pt idx="67">
                  <c:v>244.88349778982888</c:v>
                </c:pt>
                <c:pt idx="68">
                  <c:v>246.33739073919321</c:v>
                </c:pt>
                <c:pt idx="69">
                  <c:v>247.78195835784675</c:v>
                </c:pt>
                <c:pt idx="70">
                  <c:v>249.21737641465259</c:v>
                </c:pt>
                <c:pt idx="71">
                  <c:v>250.64381522413512</c:v>
                </c:pt>
                <c:pt idx="72">
                  <c:v>252.06143988053057</c:v>
                </c:pt>
                <c:pt idx="73">
                  <c:v>253.47041047910545</c:v>
                </c:pt>
                <c:pt idx="74">
                  <c:v>254.87088232552878</c:v>
                </c:pt>
                <c:pt idx="75">
                  <c:v>256.2630061341228</c:v>
                </c:pt>
                <c:pt idx="76">
                  <c:v>257.64692821567468</c:v>
                </c:pt>
                <c:pt idx="77">
                  <c:v>259.022790655493</c:v>
                </c:pt>
                <c:pt idx="78">
                  <c:v>260.3907314823042</c:v>
                </c:pt>
                <c:pt idx="79">
                  <c:v>261.75088482857632</c:v>
                </c:pt>
                <c:pt idx="80">
                  <c:v>263.10338108277875</c:v>
                </c:pt>
                <c:pt idx="81">
                  <c:v>264.44834703408452</c:v>
                </c:pt>
                <c:pt idx="82">
                  <c:v>265.78590600995045</c:v>
                </c:pt>
                <c:pt idx="83">
                  <c:v>267.11617800701475</c:v>
                </c:pt>
                <c:pt idx="84">
                  <c:v>268.43927981570334</c:v>
                </c:pt>
                <c:pt idx="85">
                  <c:v>269.75532513889311</c:v>
                </c:pt>
                <c:pt idx="86">
                  <c:v>271.06442470500292</c:v>
                </c:pt>
                <c:pt idx="87">
                  <c:v>272.36668637580556</c:v>
                </c:pt>
                <c:pt idx="88">
                  <c:v>273.66221524925834</c:v>
                </c:pt>
                <c:pt idx="89">
                  <c:v>274.95111375765714</c:v>
                </c:pt>
                <c:pt idx="90">
                  <c:v>276.23348176134431</c:v>
                </c:pt>
                <c:pt idx="91">
                  <c:v>277.50941663821982</c:v>
                </c:pt>
                <c:pt idx="92">
                  <c:v>278.77901336929477</c:v>
                </c:pt>
                <c:pt idx="93">
                  <c:v>280.04236462048237</c:v>
                </c:pt>
                <c:pt idx="94">
                  <c:v>281.29956082084175</c:v>
                </c:pt>
                <c:pt idx="95">
                  <c:v>282.55069023745187</c:v>
                </c:pt>
                <c:pt idx="96">
                  <c:v>283.79583904709489</c:v>
                </c:pt>
                <c:pt idx="97">
                  <c:v>285.03509140490013</c:v>
                </c:pt>
                <c:pt idx="98">
                  <c:v>286.26852951014212</c:v>
                </c:pt>
                <c:pt idx="99">
                  <c:v>287.49623366929382</c:v>
                </c:pt>
                <c:pt idx="100">
                  <c:v>288.71828235648252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18-483F-8D1B-0107B4B8A81B}"/>
            </c:ext>
          </c:extLst>
        </c:ser>
        <c:ser>
          <c:idx val="1"/>
          <c:order val="1"/>
          <c:tx>
            <c:v>Actual</c:v>
          </c:tx>
          <c:spPr>
            <a:ln w="19050" cap="rnd">
              <a:solidFill>
                <a:schemeClr val="accent4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OptionsPlots!$K$2:$K$102</c:f>
              <c:numCache>
                <c:formatCode>_(* #,##0.000_);_(* \(#,##0.000\);_(* "-"??_);_(@_)</c:formatCode>
                <c:ptCount val="101"/>
                <c:pt idx="0">
                  <c:v>2.6494272210425513E-2</c:v>
                </c:pt>
                <c:pt idx="1">
                  <c:v>2.6494272210425513E-2</c:v>
                </c:pt>
                <c:pt idx="2">
                  <c:v>2.6494272210425513E-2</c:v>
                </c:pt>
                <c:pt idx="3">
                  <c:v>2.6494272210425513E-2</c:v>
                </c:pt>
                <c:pt idx="4">
                  <c:v>2.6494272210425513E-2</c:v>
                </c:pt>
                <c:pt idx="5">
                  <c:v>2.6494272210425513E-2</c:v>
                </c:pt>
                <c:pt idx="6">
                  <c:v>2.6494272210425513E-2</c:v>
                </c:pt>
                <c:pt idx="7">
                  <c:v>2.6494272210425513E-2</c:v>
                </c:pt>
                <c:pt idx="8">
                  <c:v>2.6494272210425513E-2</c:v>
                </c:pt>
                <c:pt idx="9">
                  <c:v>2.6494272210425513E-2</c:v>
                </c:pt>
                <c:pt idx="10">
                  <c:v>2.6494272210425513E-2</c:v>
                </c:pt>
                <c:pt idx="11">
                  <c:v>2.6494272210425513E-2</c:v>
                </c:pt>
                <c:pt idx="12">
                  <c:v>2.6494272210425513E-2</c:v>
                </c:pt>
                <c:pt idx="13">
                  <c:v>2.6494272210425513E-2</c:v>
                </c:pt>
                <c:pt idx="14">
                  <c:v>2.6494272210425513E-2</c:v>
                </c:pt>
                <c:pt idx="15">
                  <c:v>2.6494272210425513E-2</c:v>
                </c:pt>
                <c:pt idx="16">
                  <c:v>2.6494272210425513E-2</c:v>
                </c:pt>
                <c:pt idx="17">
                  <c:v>2.6494272210425513E-2</c:v>
                </c:pt>
                <c:pt idx="18">
                  <c:v>2.6494272210425513E-2</c:v>
                </c:pt>
                <c:pt idx="19">
                  <c:v>2.6494272210425513E-2</c:v>
                </c:pt>
                <c:pt idx="20">
                  <c:v>2.6494272210425513E-2</c:v>
                </c:pt>
                <c:pt idx="21">
                  <c:v>2.6494272210425513E-2</c:v>
                </c:pt>
                <c:pt idx="22">
                  <c:v>2.6494272210425513E-2</c:v>
                </c:pt>
                <c:pt idx="23">
                  <c:v>2.6494272210425513E-2</c:v>
                </c:pt>
                <c:pt idx="24">
                  <c:v>2.6494272210425513E-2</c:v>
                </c:pt>
                <c:pt idx="25">
                  <c:v>2.6494272210425513E-2</c:v>
                </c:pt>
                <c:pt idx="26">
                  <c:v>2.6494272210425513E-2</c:v>
                </c:pt>
                <c:pt idx="27">
                  <c:v>2.6494272210425513E-2</c:v>
                </c:pt>
                <c:pt idx="28">
                  <c:v>2.6494272210425513E-2</c:v>
                </c:pt>
                <c:pt idx="29">
                  <c:v>2.6494272210425513E-2</c:v>
                </c:pt>
                <c:pt idx="30">
                  <c:v>2.6494272210425513E-2</c:v>
                </c:pt>
                <c:pt idx="31">
                  <c:v>2.6494272210425513E-2</c:v>
                </c:pt>
                <c:pt idx="32">
                  <c:v>2.6494272210425513E-2</c:v>
                </c:pt>
                <c:pt idx="33">
                  <c:v>2.6494272210425513E-2</c:v>
                </c:pt>
                <c:pt idx="34">
                  <c:v>2.6494272210425513E-2</c:v>
                </c:pt>
                <c:pt idx="35">
                  <c:v>2.6494272210425513E-2</c:v>
                </c:pt>
                <c:pt idx="36">
                  <c:v>2.6494272210425513E-2</c:v>
                </c:pt>
                <c:pt idx="37">
                  <c:v>2.6494272210425513E-2</c:v>
                </c:pt>
                <c:pt idx="38">
                  <c:v>2.6494272210425513E-2</c:v>
                </c:pt>
                <c:pt idx="39">
                  <c:v>2.6494272210425513E-2</c:v>
                </c:pt>
                <c:pt idx="40">
                  <c:v>2.6494272210425513E-2</c:v>
                </c:pt>
                <c:pt idx="41">
                  <c:v>2.6494272210425513E-2</c:v>
                </c:pt>
                <c:pt idx="42">
                  <c:v>2.6494272210425513E-2</c:v>
                </c:pt>
                <c:pt idx="43">
                  <c:v>2.6494272210425513E-2</c:v>
                </c:pt>
                <c:pt idx="44">
                  <c:v>2.6494272210425513E-2</c:v>
                </c:pt>
                <c:pt idx="45">
                  <c:v>2.6494272210425513E-2</c:v>
                </c:pt>
                <c:pt idx="46">
                  <c:v>2.6494272210425513E-2</c:v>
                </c:pt>
                <c:pt idx="47">
                  <c:v>2.6494272210425513E-2</c:v>
                </c:pt>
                <c:pt idx="48">
                  <c:v>2.6494272210425513E-2</c:v>
                </c:pt>
                <c:pt idx="49">
                  <c:v>2.6494272210425513E-2</c:v>
                </c:pt>
                <c:pt idx="50">
                  <c:v>2.6494272210425513E-2</c:v>
                </c:pt>
                <c:pt idx="51">
                  <c:v>2.6494272210425513E-2</c:v>
                </c:pt>
                <c:pt idx="52">
                  <c:v>2.6494272210425513E-2</c:v>
                </c:pt>
                <c:pt idx="53">
                  <c:v>2.6494272210425513E-2</c:v>
                </c:pt>
                <c:pt idx="54">
                  <c:v>2.6494272210425513E-2</c:v>
                </c:pt>
                <c:pt idx="55">
                  <c:v>2.6494272210425513E-2</c:v>
                </c:pt>
                <c:pt idx="56">
                  <c:v>2.6494272210425513E-2</c:v>
                </c:pt>
                <c:pt idx="57">
                  <c:v>2.6494272210425513E-2</c:v>
                </c:pt>
                <c:pt idx="58">
                  <c:v>2.6494272210425513E-2</c:v>
                </c:pt>
                <c:pt idx="59">
                  <c:v>2.6494272210425513E-2</c:v>
                </c:pt>
                <c:pt idx="60">
                  <c:v>2.6494272210425513E-2</c:v>
                </c:pt>
                <c:pt idx="61">
                  <c:v>2.6494272210425513E-2</c:v>
                </c:pt>
                <c:pt idx="62">
                  <c:v>2.6494272210425513E-2</c:v>
                </c:pt>
                <c:pt idx="63">
                  <c:v>2.6494272210425513E-2</c:v>
                </c:pt>
                <c:pt idx="64">
                  <c:v>2.6494272210425513E-2</c:v>
                </c:pt>
                <c:pt idx="65">
                  <c:v>2.6494272210425513E-2</c:v>
                </c:pt>
                <c:pt idx="66">
                  <c:v>2.6494272210425513E-2</c:v>
                </c:pt>
                <c:pt idx="67">
                  <c:v>2.6494272210425513E-2</c:v>
                </c:pt>
                <c:pt idx="68">
                  <c:v>2.6494272210425513E-2</c:v>
                </c:pt>
                <c:pt idx="69">
                  <c:v>2.6494272210425513E-2</c:v>
                </c:pt>
                <c:pt idx="70">
                  <c:v>2.6494272210425513E-2</c:v>
                </c:pt>
                <c:pt idx="71">
                  <c:v>2.6494272210425513E-2</c:v>
                </c:pt>
                <c:pt idx="72">
                  <c:v>2.6494272210425513E-2</c:v>
                </c:pt>
                <c:pt idx="73">
                  <c:v>2.6494272210425513E-2</c:v>
                </c:pt>
                <c:pt idx="74">
                  <c:v>2.6494272210425513E-2</c:v>
                </c:pt>
                <c:pt idx="75">
                  <c:v>2.6494272210425513E-2</c:v>
                </c:pt>
                <c:pt idx="76">
                  <c:v>2.6494272210425513E-2</c:v>
                </c:pt>
                <c:pt idx="77">
                  <c:v>2.6494272210425513E-2</c:v>
                </c:pt>
                <c:pt idx="78">
                  <c:v>2.6494272210425513E-2</c:v>
                </c:pt>
                <c:pt idx="79">
                  <c:v>2.6494272210425513E-2</c:v>
                </c:pt>
                <c:pt idx="80">
                  <c:v>2.6494272210425513E-2</c:v>
                </c:pt>
                <c:pt idx="81">
                  <c:v>2.6494272210425513E-2</c:v>
                </c:pt>
                <c:pt idx="82">
                  <c:v>2.6494272210425513E-2</c:v>
                </c:pt>
                <c:pt idx="83">
                  <c:v>2.6494272210425513E-2</c:v>
                </c:pt>
                <c:pt idx="84">
                  <c:v>2.6494272210425513E-2</c:v>
                </c:pt>
                <c:pt idx="85">
                  <c:v>2.6494272210425513E-2</c:v>
                </c:pt>
                <c:pt idx="86">
                  <c:v>2.6494272210425513E-2</c:v>
                </c:pt>
                <c:pt idx="87">
                  <c:v>2.6494272210425513E-2</c:v>
                </c:pt>
                <c:pt idx="88">
                  <c:v>2.6494272210425513E-2</c:v>
                </c:pt>
                <c:pt idx="89">
                  <c:v>2.6494272210425513E-2</c:v>
                </c:pt>
                <c:pt idx="90">
                  <c:v>2.6494272210425513E-2</c:v>
                </c:pt>
                <c:pt idx="91">
                  <c:v>2.6494272210425513E-2</c:v>
                </c:pt>
                <c:pt idx="92">
                  <c:v>2.6494272210425513E-2</c:v>
                </c:pt>
                <c:pt idx="93">
                  <c:v>2.6494272210425513E-2</c:v>
                </c:pt>
                <c:pt idx="94">
                  <c:v>2.6494272210425513E-2</c:v>
                </c:pt>
                <c:pt idx="95">
                  <c:v>2.6494272210425513E-2</c:v>
                </c:pt>
                <c:pt idx="96">
                  <c:v>2.6494272210425513E-2</c:v>
                </c:pt>
                <c:pt idx="97">
                  <c:v>2.6494272210425513E-2</c:v>
                </c:pt>
                <c:pt idx="98">
                  <c:v>2.6494272210425513E-2</c:v>
                </c:pt>
                <c:pt idx="99">
                  <c:v>2.6494272210425513E-2</c:v>
                </c:pt>
                <c:pt idx="100">
                  <c:v>2.6494272210425513E-2</c:v>
                </c:pt>
              </c:numCache>
            </c:numRef>
          </c:xVal>
          <c:yVal>
            <c:numRef>
              <c:f>OptionsPlots!$J$2:$J$102</c:f>
              <c:numCache>
                <c:formatCode>_("$"* #,##0.0_);_("$"* \(#,##0.0\);_("$"* "-"??_);_(@_)</c:formatCode>
                <c:ptCount val="101"/>
                <c:pt idx="0">
                  <c:v>101.37704779596004</c:v>
                </c:pt>
                <c:pt idx="1">
                  <c:v>105.29596255307527</c:v>
                </c:pt>
                <c:pt idx="2">
                  <c:v>109.04484402932992</c:v>
                </c:pt>
                <c:pt idx="3">
                  <c:v>112.6440117611146</c:v>
                </c:pt>
                <c:pt idx="4">
                  <c:v>116.11003589194615</c:v>
                </c:pt>
                <c:pt idx="5">
                  <c:v>119.45663933995291</c:v>
                </c:pt>
                <c:pt idx="6">
                  <c:v>122.69533878341714</c:v>
                </c:pt>
                <c:pt idx="7">
                  <c:v>125.83591130408746</c:v>
                </c:pt>
                <c:pt idx="8">
                  <c:v>128.88674134766259</c:v>
                </c:pt>
                <c:pt idx="9">
                  <c:v>131.85508349908915</c:v>
                </c:pt>
                <c:pt idx="10">
                  <c:v>134.74726476313668</c:v>
                </c:pt>
                <c:pt idx="11">
                  <c:v>137.56884254488148</c:v>
                </c:pt>
                <c:pt idx="12">
                  <c:v>140.32472963853758</c:v>
                </c:pt>
                <c:pt idx="13">
                  <c:v>143.01929427263917</c:v>
                </c:pt>
                <c:pt idx="14">
                  <c:v>145.65644103776017</c:v>
                </c:pt>
                <c:pt idx="15">
                  <c:v>148.23967698012012</c:v>
                </c:pt>
                <c:pt idx="16">
                  <c:v>150.77216605455857</c:v>
                </c:pt>
                <c:pt idx="17">
                  <c:v>153.25677434842498</c:v>
                </c:pt>
                <c:pt idx="18">
                  <c:v>155.69610791891591</c:v>
                </c:pt>
                <c:pt idx="19">
                  <c:v>158.09254466686752</c:v>
                </c:pt>
                <c:pt idx="20">
                  <c:v>160.44826135695254</c:v>
                </c:pt>
                <c:pt idx="21">
                  <c:v>162.76525665809964</c:v>
                </c:pt>
                <c:pt idx="22">
                  <c:v>165.04537089788622</c:v>
                </c:pt>
                <c:pt idx="23">
                  <c:v>167.29030308614321</c:v>
                </c:pt>
                <c:pt idx="24">
                  <c:v>169.50162565541439</c:v>
                </c:pt>
                <c:pt idx="25">
                  <c:v>171.68079728170383</c:v>
                </c:pt>
                <c:pt idx="26">
                  <c:v>173.82917408251183</c:v>
                </c:pt>
                <c:pt idx="27">
                  <c:v>175.94801943632066</c:v>
                </c:pt>
                <c:pt idx="28">
                  <c:v>178.03851262542526</c:v>
                </c:pt>
                <c:pt idx="29">
                  <c:v>180.10175646998695</c:v>
                </c:pt>
                <c:pt idx="30">
                  <c:v>182.13878409357923</c:v>
                </c:pt>
                <c:pt idx="31">
                  <c:v>184.1505649380284</c:v>
                </c:pt>
                <c:pt idx="32">
                  <c:v>186.13801012687821</c:v>
                </c:pt>
                <c:pt idx="33">
                  <c:v>188.10197726171353</c:v>
                </c:pt>
                <c:pt idx="34">
                  <c:v>190.04327472293019</c:v>
                </c:pt>
                <c:pt idx="35">
                  <c:v>191.96266553613225</c:v>
                </c:pt>
                <c:pt idx="36">
                  <c:v>193.86087085660731</c:v>
                </c:pt>
                <c:pt idx="37">
                  <c:v>195.73857311700337</c:v>
                </c:pt>
                <c:pt idx="38">
                  <c:v>197.59641887713627</c:v>
                </c:pt>
                <c:pt idx="39">
                  <c:v>199.43502140971398</c:v>
                </c:pt>
                <c:pt idx="40">
                  <c:v>201.25496305122562</c:v>
                </c:pt>
                <c:pt idx="41">
                  <c:v>203.05679734360814</c:v>
                </c:pt>
                <c:pt idx="42">
                  <c:v>204.84105098896285</c:v>
                </c:pt>
                <c:pt idx="43">
                  <c:v>206.60822563691775</c:v>
                </c:pt>
                <c:pt idx="44">
                  <c:v>208.35879952180042</c:v>
                </c:pt>
                <c:pt idx="45">
                  <c:v>210.09322896476675</c:v>
                </c:pt>
                <c:pt idx="46">
                  <c:v>211.81194975428221</c:v>
                </c:pt>
                <c:pt idx="47">
                  <c:v>213.51537841673394</c:v>
                </c:pt>
                <c:pt idx="48">
                  <c:v>215.20391338772927</c:v>
                </c:pt>
                <c:pt idx="49">
                  <c:v>216.87793609335921</c:v>
                </c:pt>
                <c:pt idx="50">
                  <c:v>218.53781194978325</c:v>
                </c:pt>
                <c:pt idx="51">
                  <c:v>220.18389128852402</c:v>
                </c:pt>
                <c:pt idx="52">
                  <c:v>221.81651021412017</c:v>
                </c:pt>
                <c:pt idx="53">
                  <c:v>223.4359914000959</c:v>
                </c:pt>
                <c:pt idx="54">
                  <c:v>225.04264482855439</c:v>
                </c:pt>
                <c:pt idx="55">
                  <c:v>226.63676847824695</c:v>
                </c:pt>
                <c:pt idx="56">
                  <c:v>228.21864896537778</c:v>
                </c:pt>
                <c:pt idx="57">
                  <c:v>229.78856214111053</c:v>
                </c:pt>
                <c:pt idx="58">
                  <c:v>231.34677364925923</c:v>
                </c:pt>
                <c:pt idx="59">
                  <c:v>232.89353944739455</c:v>
                </c:pt>
                <c:pt idx="60">
                  <c:v>234.42910629420211</c:v>
                </c:pt>
                <c:pt idx="61">
                  <c:v>235.95371220579167</c:v>
                </c:pt>
                <c:pt idx="62">
                  <c:v>237.46758688329507</c:v>
                </c:pt>
                <c:pt idx="63">
                  <c:v>238.97095211395259</c:v>
                </c:pt>
                <c:pt idx="64">
                  <c:v>240.46402214765149</c:v>
                </c:pt>
                <c:pt idx="65">
                  <c:v>241.94700405074542</c:v>
                </c:pt>
                <c:pt idx="66">
                  <c:v>243.42009803881214</c:v>
                </c:pt>
                <c:pt idx="67">
                  <c:v>244.88349778982888</c:v>
                </c:pt>
                <c:pt idx="68">
                  <c:v>246.33739073919321</c:v>
                </c:pt>
                <c:pt idx="69">
                  <c:v>247.78195835784675</c:v>
                </c:pt>
                <c:pt idx="70">
                  <c:v>249.21737641465259</c:v>
                </c:pt>
                <c:pt idx="71">
                  <c:v>250.64381522413512</c:v>
                </c:pt>
                <c:pt idx="72">
                  <c:v>252.06143988053057</c:v>
                </c:pt>
                <c:pt idx="73">
                  <c:v>253.47041047910545</c:v>
                </c:pt>
                <c:pt idx="74">
                  <c:v>254.87088232552878</c:v>
                </c:pt>
                <c:pt idx="75">
                  <c:v>256.2630061341228</c:v>
                </c:pt>
                <c:pt idx="76">
                  <c:v>257.64692821567468</c:v>
                </c:pt>
                <c:pt idx="77">
                  <c:v>259.022790655493</c:v>
                </c:pt>
                <c:pt idx="78">
                  <c:v>260.3907314823042</c:v>
                </c:pt>
                <c:pt idx="79">
                  <c:v>261.75088482857632</c:v>
                </c:pt>
                <c:pt idx="80">
                  <c:v>263.10338108277875</c:v>
                </c:pt>
                <c:pt idx="81">
                  <c:v>264.44834703408452</c:v>
                </c:pt>
                <c:pt idx="82">
                  <c:v>265.78590600995045</c:v>
                </c:pt>
                <c:pt idx="83">
                  <c:v>267.11617800701475</c:v>
                </c:pt>
                <c:pt idx="84">
                  <c:v>268.43927981570334</c:v>
                </c:pt>
                <c:pt idx="85">
                  <c:v>269.75532513889311</c:v>
                </c:pt>
                <c:pt idx="86">
                  <c:v>271.06442470500292</c:v>
                </c:pt>
                <c:pt idx="87">
                  <c:v>272.36668637580556</c:v>
                </c:pt>
                <c:pt idx="88">
                  <c:v>273.66221524925834</c:v>
                </c:pt>
                <c:pt idx="89">
                  <c:v>274.95111375765714</c:v>
                </c:pt>
                <c:pt idx="90">
                  <c:v>276.23348176134431</c:v>
                </c:pt>
                <c:pt idx="91">
                  <c:v>277.50941663821982</c:v>
                </c:pt>
                <c:pt idx="92">
                  <c:v>278.77901336929477</c:v>
                </c:pt>
                <c:pt idx="93">
                  <c:v>280.04236462048237</c:v>
                </c:pt>
                <c:pt idx="94">
                  <c:v>281.29956082084175</c:v>
                </c:pt>
                <c:pt idx="95">
                  <c:v>282.55069023745187</c:v>
                </c:pt>
                <c:pt idx="96">
                  <c:v>283.79583904709489</c:v>
                </c:pt>
                <c:pt idx="97">
                  <c:v>285.03509140490013</c:v>
                </c:pt>
                <c:pt idx="98">
                  <c:v>286.26852951014212</c:v>
                </c:pt>
                <c:pt idx="99">
                  <c:v>287.49623366929382</c:v>
                </c:pt>
                <c:pt idx="100">
                  <c:v>288.71828235648252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18-483F-8D1B-0107B4B8A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42927"/>
        <c:axId val="331938351"/>
      </c:scatterChart>
      <c:valAx>
        <c:axId val="331942927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Time to maturity</a:t>
                </a:r>
                <a:r>
                  <a:rPr lang="es-MX" sz="800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(years)</a:t>
                </a:r>
                <a:endParaRPr lang="es-MX" sz="800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1938351"/>
        <c:crosses val="autoZero"/>
        <c:crossBetween val="midCat"/>
      </c:valAx>
      <c:valAx>
        <c:axId val="33193835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Option price ($)</a:t>
                </a:r>
              </a:p>
            </c:rich>
          </c:tx>
          <c:layout>
            <c:manualLayout>
              <c:xMode val="edge"/>
              <c:yMode val="edge"/>
              <c:x val="2.2312335958005275E-2"/>
              <c:y val="0.131672572178477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&quot;$&quot;* #,##0.0_);_(&quot;$&quot;* \(#,##0.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19429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964599737532808"/>
          <c:y val="0.87298852577056185"/>
          <c:w val="0.66240190288713907"/>
          <c:h val="0.12500087489063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65034448818896"/>
          <c:y val="6.908693935381971E-2"/>
          <c:w val="0.75818745313085867"/>
          <c:h val="0.57646911945741286"/>
        </c:manualLayout>
      </c:layout>
      <c:scatterChart>
        <c:scatterStyle val="smoothMarker"/>
        <c:varyColors val="0"/>
        <c:ser>
          <c:idx val="0"/>
          <c:order val="0"/>
          <c:tx>
            <c:v>Price vs. rf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OptionsPlots!$C$2:$C$102</c:f>
              <c:numCache>
                <c:formatCode>0.000%</c:formatCode>
                <c:ptCount val="101"/>
                <c:pt idx="0">
                  <c:v>0</c:v>
                </c:pt>
                <c:pt idx="1">
                  <c:v>1.3500000000000001E-5</c:v>
                </c:pt>
                <c:pt idx="2">
                  <c:v>2.7000000000000002E-5</c:v>
                </c:pt>
                <c:pt idx="3">
                  <c:v>4.0500000000000002E-5</c:v>
                </c:pt>
                <c:pt idx="4">
                  <c:v>5.4000000000000005E-5</c:v>
                </c:pt>
                <c:pt idx="5">
                  <c:v>6.7500000000000001E-5</c:v>
                </c:pt>
                <c:pt idx="6">
                  <c:v>8.1000000000000004E-5</c:v>
                </c:pt>
                <c:pt idx="7">
                  <c:v>9.4500000000000007E-5</c:v>
                </c:pt>
                <c:pt idx="8">
                  <c:v>1.0800000000000001E-4</c:v>
                </c:pt>
                <c:pt idx="9">
                  <c:v>1.2150000000000001E-4</c:v>
                </c:pt>
                <c:pt idx="10">
                  <c:v>1.35E-4</c:v>
                </c:pt>
                <c:pt idx="11">
                  <c:v>1.485E-4</c:v>
                </c:pt>
                <c:pt idx="12">
                  <c:v>1.6200000000000001E-4</c:v>
                </c:pt>
                <c:pt idx="13">
                  <c:v>1.7550000000000001E-4</c:v>
                </c:pt>
                <c:pt idx="14">
                  <c:v>1.8900000000000001E-4</c:v>
                </c:pt>
                <c:pt idx="15">
                  <c:v>2.0250000000000002E-4</c:v>
                </c:pt>
                <c:pt idx="16">
                  <c:v>2.1600000000000002E-4</c:v>
                </c:pt>
                <c:pt idx="17">
                  <c:v>2.2950000000000002E-4</c:v>
                </c:pt>
                <c:pt idx="18">
                  <c:v>2.4300000000000002E-4</c:v>
                </c:pt>
                <c:pt idx="19">
                  <c:v>2.565E-4</c:v>
                </c:pt>
                <c:pt idx="20">
                  <c:v>2.7E-4</c:v>
                </c:pt>
                <c:pt idx="21">
                  <c:v>2.8350000000000001E-4</c:v>
                </c:pt>
                <c:pt idx="22">
                  <c:v>2.9700000000000001E-4</c:v>
                </c:pt>
                <c:pt idx="23">
                  <c:v>3.1050000000000001E-4</c:v>
                </c:pt>
                <c:pt idx="24">
                  <c:v>3.2400000000000001E-4</c:v>
                </c:pt>
                <c:pt idx="25">
                  <c:v>3.3750000000000002E-4</c:v>
                </c:pt>
                <c:pt idx="26">
                  <c:v>3.5100000000000002E-4</c:v>
                </c:pt>
                <c:pt idx="27">
                  <c:v>3.6450000000000002E-4</c:v>
                </c:pt>
                <c:pt idx="28">
                  <c:v>3.7800000000000003E-4</c:v>
                </c:pt>
                <c:pt idx="29">
                  <c:v>3.9150000000000003E-4</c:v>
                </c:pt>
                <c:pt idx="30">
                  <c:v>4.0500000000000003E-4</c:v>
                </c:pt>
                <c:pt idx="31">
                  <c:v>4.1850000000000004E-4</c:v>
                </c:pt>
                <c:pt idx="32">
                  <c:v>4.3200000000000004E-4</c:v>
                </c:pt>
                <c:pt idx="33">
                  <c:v>4.4550000000000004E-4</c:v>
                </c:pt>
                <c:pt idx="34">
                  <c:v>4.5900000000000004E-4</c:v>
                </c:pt>
                <c:pt idx="35">
                  <c:v>4.7250000000000005E-4</c:v>
                </c:pt>
                <c:pt idx="36">
                  <c:v>4.8600000000000005E-4</c:v>
                </c:pt>
                <c:pt idx="37">
                  <c:v>4.9950000000000005E-4</c:v>
                </c:pt>
                <c:pt idx="38">
                  <c:v>5.13E-4</c:v>
                </c:pt>
                <c:pt idx="39">
                  <c:v>5.2649999999999995E-4</c:v>
                </c:pt>
                <c:pt idx="40">
                  <c:v>5.399999999999999E-4</c:v>
                </c:pt>
                <c:pt idx="41">
                  <c:v>5.5349999999999985E-4</c:v>
                </c:pt>
                <c:pt idx="42">
                  <c:v>5.669999999999998E-4</c:v>
                </c:pt>
                <c:pt idx="43">
                  <c:v>5.8049999999999974E-4</c:v>
                </c:pt>
                <c:pt idx="44">
                  <c:v>5.9399999999999969E-4</c:v>
                </c:pt>
                <c:pt idx="45">
                  <c:v>6.0749999999999964E-4</c:v>
                </c:pt>
                <c:pt idx="46">
                  <c:v>6.2099999999999959E-4</c:v>
                </c:pt>
                <c:pt idx="47">
                  <c:v>6.3449999999999954E-4</c:v>
                </c:pt>
                <c:pt idx="48">
                  <c:v>6.4799999999999949E-4</c:v>
                </c:pt>
                <c:pt idx="49">
                  <c:v>6.6149999999999944E-4</c:v>
                </c:pt>
                <c:pt idx="50">
                  <c:v>6.7499999999999939E-4</c:v>
                </c:pt>
                <c:pt idx="51">
                  <c:v>6.8849999999999933E-4</c:v>
                </c:pt>
                <c:pt idx="52">
                  <c:v>7.0199999999999928E-4</c:v>
                </c:pt>
                <c:pt idx="53">
                  <c:v>7.1549999999999923E-4</c:v>
                </c:pt>
                <c:pt idx="54">
                  <c:v>7.2899999999999918E-4</c:v>
                </c:pt>
                <c:pt idx="55">
                  <c:v>7.4249999999999913E-4</c:v>
                </c:pt>
                <c:pt idx="56">
                  <c:v>7.5599999999999908E-4</c:v>
                </c:pt>
                <c:pt idx="57">
                  <c:v>7.6949999999999903E-4</c:v>
                </c:pt>
                <c:pt idx="58">
                  <c:v>7.8299999999999897E-4</c:v>
                </c:pt>
                <c:pt idx="59">
                  <c:v>7.9649999999999892E-4</c:v>
                </c:pt>
                <c:pt idx="60">
                  <c:v>8.0999999999999887E-4</c:v>
                </c:pt>
                <c:pt idx="61">
                  <c:v>8.2349999999999882E-4</c:v>
                </c:pt>
                <c:pt idx="62">
                  <c:v>8.3699999999999877E-4</c:v>
                </c:pt>
                <c:pt idx="63">
                  <c:v>8.5049999999999872E-4</c:v>
                </c:pt>
                <c:pt idx="64">
                  <c:v>8.6399999999999867E-4</c:v>
                </c:pt>
                <c:pt idx="65">
                  <c:v>8.7749999999999862E-4</c:v>
                </c:pt>
                <c:pt idx="66">
                  <c:v>8.9099999999999856E-4</c:v>
                </c:pt>
                <c:pt idx="67">
                  <c:v>9.0449999999999851E-4</c:v>
                </c:pt>
                <c:pt idx="68">
                  <c:v>9.1799999999999846E-4</c:v>
                </c:pt>
                <c:pt idx="69">
                  <c:v>9.3149999999999841E-4</c:v>
                </c:pt>
                <c:pt idx="70">
                  <c:v>9.4499999999999836E-4</c:v>
                </c:pt>
                <c:pt idx="71">
                  <c:v>9.5849999999999831E-4</c:v>
                </c:pt>
                <c:pt idx="72">
                  <c:v>9.7199999999999826E-4</c:v>
                </c:pt>
                <c:pt idx="73">
                  <c:v>9.8549999999999831E-4</c:v>
                </c:pt>
                <c:pt idx="74">
                  <c:v>9.9899999999999837E-4</c:v>
                </c:pt>
                <c:pt idx="75">
                  <c:v>1.0124999999999984E-3</c:v>
                </c:pt>
                <c:pt idx="76">
                  <c:v>1.0259999999999985E-3</c:v>
                </c:pt>
                <c:pt idx="77">
                  <c:v>1.0394999999999985E-3</c:v>
                </c:pt>
                <c:pt idx="78">
                  <c:v>1.0529999999999986E-3</c:v>
                </c:pt>
                <c:pt idx="79">
                  <c:v>1.0664999999999987E-3</c:v>
                </c:pt>
                <c:pt idx="80">
                  <c:v>1.0799999999999987E-3</c:v>
                </c:pt>
                <c:pt idx="81">
                  <c:v>1.0934999999999988E-3</c:v>
                </c:pt>
                <c:pt idx="82">
                  <c:v>1.1069999999999988E-3</c:v>
                </c:pt>
                <c:pt idx="83">
                  <c:v>1.1204999999999989E-3</c:v>
                </c:pt>
                <c:pt idx="84">
                  <c:v>1.1339999999999989E-3</c:v>
                </c:pt>
                <c:pt idx="85">
                  <c:v>1.147499999999999E-3</c:v>
                </c:pt>
                <c:pt idx="86">
                  <c:v>1.1609999999999991E-3</c:v>
                </c:pt>
                <c:pt idx="87">
                  <c:v>1.1744999999999991E-3</c:v>
                </c:pt>
                <c:pt idx="88">
                  <c:v>1.1879999999999992E-3</c:v>
                </c:pt>
                <c:pt idx="89">
                  <c:v>1.2014999999999992E-3</c:v>
                </c:pt>
                <c:pt idx="90">
                  <c:v>1.2149999999999993E-3</c:v>
                </c:pt>
                <c:pt idx="91">
                  <c:v>1.2284999999999993E-3</c:v>
                </c:pt>
                <c:pt idx="92">
                  <c:v>1.2419999999999994E-3</c:v>
                </c:pt>
                <c:pt idx="93">
                  <c:v>1.2554999999999995E-3</c:v>
                </c:pt>
                <c:pt idx="94">
                  <c:v>1.2689999999999995E-3</c:v>
                </c:pt>
                <c:pt idx="95">
                  <c:v>1.2824999999999996E-3</c:v>
                </c:pt>
                <c:pt idx="96">
                  <c:v>1.2959999999999996E-3</c:v>
                </c:pt>
                <c:pt idx="97">
                  <c:v>1.3094999999999997E-3</c:v>
                </c:pt>
                <c:pt idx="98">
                  <c:v>1.3229999999999997E-3</c:v>
                </c:pt>
                <c:pt idx="99">
                  <c:v>1.3364999999999998E-3</c:v>
                </c:pt>
                <c:pt idx="100">
                  <c:v>1.3499999999999999E-3</c:v>
                </c:pt>
              </c:numCache>
            </c:numRef>
          </c:xVal>
          <c:yVal>
            <c:numRef>
              <c:f>OptionsPlots!$D$2:$D$102</c:f>
              <c:numCache>
                <c:formatCode>_("$"* #,##0.00_);_("$"* \(#,##0.00\);_("$"* "-"??_);_(@_)</c:formatCode>
                <c:ptCount val="101"/>
                <c:pt idx="0">
                  <c:v>276.21124441737811</c:v>
                </c:pt>
                <c:pt idx="1">
                  <c:v>276.21371687361346</c:v>
                </c:pt>
                <c:pt idx="2">
                  <c:v>276.21618934320855</c:v>
                </c:pt>
                <c:pt idx="3">
                  <c:v>276.21866182615457</c:v>
                </c:pt>
                <c:pt idx="4">
                  <c:v>276.22113432247295</c:v>
                </c:pt>
                <c:pt idx="5">
                  <c:v>276.22360683215402</c:v>
                </c:pt>
                <c:pt idx="6">
                  <c:v>276.22607935519471</c:v>
                </c:pt>
                <c:pt idx="7">
                  <c:v>276.22855189158997</c:v>
                </c:pt>
                <c:pt idx="8">
                  <c:v>276.23102444135361</c:v>
                </c:pt>
                <c:pt idx="9">
                  <c:v>276.23349700448136</c:v>
                </c:pt>
                <c:pt idx="10">
                  <c:v>276.23596958096937</c:v>
                </c:pt>
                <c:pt idx="11">
                  <c:v>276.23844217081097</c:v>
                </c:pt>
                <c:pt idx="12">
                  <c:v>276.24091477402089</c:v>
                </c:pt>
                <c:pt idx="13">
                  <c:v>276.2433873905955</c:v>
                </c:pt>
                <c:pt idx="14">
                  <c:v>276.24586002053093</c:v>
                </c:pt>
                <c:pt idx="15">
                  <c:v>276.24833266381836</c:v>
                </c:pt>
                <c:pt idx="16">
                  <c:v>276.25080532047701</c:v>
                </c:pt>
                <c:pt idx="17">
                  <c:v>276.25327799049558</c:v>
                </c:pt>
                <c:pt idx="18">
                  <c:v>276.25575067387723</c:v>
                </c:pt>
                <c:pt idx="19">
                  <c:v>276.25822337060993</c:v>
                </c:pt>
                <c:pt idx="20">
                  <c:v>276.26069608071288</c:v>
                </c:pt>
                <c:pt idx="21">
                  <c:v>276.26316880418176</c:v>
                </c:pt>
                <c:pt idx="22">
                  <c:v>276.26564154100748</c:v>
                </c:pt>
                <c:pt idx="23">
                  <c:v>276.26811429118555</c:v>
                </c:pt>
                <c:pt idx="24">
                  <c:v>276.27058705473758</c:v>
                </c:pt>
                <c:pt idx="25">
                  <c:v>276.2730598316478</c:v>
                </c:pt>
                <c:pt idx="26">
                  <c:v>276.27553262192157</c:v>
                </c:pt>
                <c:pt idx="27">
                  <c:v>276.27800542554672</c:v>
                </c:pt>
                <c:pt idx="28">
                  <c:v>276.28047824254202</c:v>
                </c:pt>
                <c:pt idx="29">
                  <c:v>276.2829510728991</c:v>
                </c:pt>
                <c:pt idx="30">
                  <c:v>276.28542391661728</c:v>
                </c:pt>
                <c:pt idx="31">
                  <c:v>276.28789677368906</c:v>
                </c:pt>
                <c:pt idx="32">
                  <c:v>276.29036964412921</c:v>
                </c:pt>
                <c:pt idx="33">
                  <c:v>276.29284252793036</c:v>
                </c:pt>
                <c:pt idx="34">
                  <c:v>276.2953154250954</c:v>
                </c:pt>
                <c:pt idx="35">
                  <c:v>276.29778833560937</c:v>
                </c:pt>
                <c:pt idx="36">
                  <c:v>276.30026125949468</c:v>
                </c:pt>
                <c:pt idx="37">
                  <c:v>276.30273419674222</c:v>
                </c:pt>
                <c:pt idx="38">
                  <c:v>276.30520714735434</c:v>
                </c:pt>
                <c:pt idx="39">
                  <c:v>276.30768011131227</c:v>
                </c:pt>
                <c:pt idx="40">
                  <c:v>276.31015308864431</c:v>
                </c:pt>
                <c:pt idx="41">
                  <c:v>276.31262607933473</c:v>
                </c:pt>
                <c:pt idx="42">
                  <c:v>276.31509908338813</c:v>
                </c:pt>
                <c:pt idx="43">
                  <c:v>276.31757210079462</c:v>
                </c:pt>
                <c:pt idx="44">
                  <c:v>276.32004513156841</c:v>
                </c:pt>
                <c:pt idx="45">
                  <c:v>276.32251817570716</c:v>
                </c:pt>
                <c:pt idx="46">
                  <c:v>276.32499123320417</c:v>
                </c:pt>
                <c:pt idx="47">
                  <c:v>276.327464304052</c:v>
                </c:pt>
                <c:pt idx="48">
                  <c:v>276.32993738827139</c:v>
                </c:pt>
                <c:pt idx="49">
                  <c:v>276.33241048585268</c:v>
                </c:pt>
                <c:pt idx="50">
                  <c:v>276.33488359679581</c:v>
                </c:pt>
                <c:pt idx="51">
                  <c:v>276.33735672108884</c:v>
                </c:pt>
                <c:pt idx="52">
                  <c:v>276.33982985875406</c:v>
                </c:pt>
                <c:pt idx="53">
                  <c:v>276.34230300977799</c:v>
                </c:pt>
                <c:pt idx="54">
                  <c:v>276.34477617416439</c:v>
                </c:pt>
                <c:pt idx="55">
                  <c:v>276.34724935190206</c:v>
                </c:pt>
                <c:pt idx="56">
                  <c:v>276.34972254300806</c:v>
                </c:pt>
                <c:pt idx="57">
                  <c:v>276.35219574747936</c:v>
                </c:pt>
                <c:pt idx="58">
                  <c:v>276.35466896531</c:v>
                </c:pt>
                <c:pt idx="59">
                  <c:v>276.35714219648804</c:v>
                </c:pt>
                <c:pt idx="60">
                  <c:v>276.35961544103941</c:v>
                </c:pt>
                <c:pt idx="61">
                  <c:v>276.36208869895302</c:v>
                </c:pt>
                <c:pt idx="62">
                  <c:v>276.36456197022659</c:v>
                </c:pt>
                <c:pt idx="63">
                  <c:v>276.36703525485029</c:v>
                </c:pt>
                <c:pt idx="64">
                  <c:v>276.3695085528451</c:v>
                </c:pt>
                <c:pt idx="65">
                  <c:v>276.37198186420119</c:v>
                </c:pt>
                <c:pt idx="66">
                  <c:v>276.37445518891781</c:v>
                </c:pt>
                <c:pt idx="67">
                  <c:v>276.37692852698603</c:v>
                </c:pt>
                <c:pt idx="68">
                  <c:v>276.37940187842435</c:v>
                </c:pt>
                <c:pt idx="69">
                  <c:v>276.3818752432216</c:v>
                </c:pt>
                <c:pt idx="70">
                  <c:v>276.38434862138143</c:v>
                </c:pt>
                <c:pt idx="71">
                  <c:v>276.38682201289203</c:v>
                </c:pt>
                <c:pt idx="72">
                  <c:v>276.3892954177748</c:v>
                </c:pt>
                <c:pt idx="73">
                  <c:v>276.39176883601414</c:v>
                </c:pt>
                <c:pt idx="74">
                  <c:v>276.39424226761747</c:v>
                </c:pt>
                <c:pt idx="75">
                  <c:v>276.39671571256906</c:v>
                </c:pt>
                <c:pt idx="76">
                  <c:v>276.39918917089352</c:v>
                </c:pt>
                <c:pt idx="77">
                  <c:v>276.40166264257817</c:v>
                </c:pt>
                <c:pt idx="78">
                  <c:v>276.40413612762211</c:v>
                </c:pt>
                <c:pt idx="79">
                  <c:v>276.40660962601794</c:v>
                </c:pt>
                <c:pt idx="80">
                  <c:v>276.40908313778425</c:v>
                </c:pt>
                <c:pt idx="81">
                  <c:v>276.41155666291127</c:v>
                </c:pt>
                <c:pt idx="82">
                  <c:v>276.41403020139904</c:v>
                </c:pt>
                <c:pt idx="83">
                  <c:v>276.41650375323633</c:v>
                </c:pt>
                <c:pt idx="84">
                  <c:v>276.4189773184446</c:v>
                </c:pt>
                <c:pt idx="85">
                  <c:v>276.42145089701285</c:v>
                </c:pt>
                <c:pt idx="86">
                  <c:v>276.42392448894304</c:v>
                </c:pt>
                <c:pt idx="87">
                  <c:v>276.42639809422042</c:v>
                </c:pt>
                <c:pt idx="88">
                  <c:v>276.4288717128702</c:v>
                </c:pt>
                <c:pt idx="89">
                  <c:v>276.43134534488343</c:v>
                </c:pt>
                <c:pt idx="90">
                  <c:v>276.43381899025331</c:v>
                </c:pt>
                <c:pt idx="91">
                  <c:v>276.43629264897544</c:v>
                </c:pt>
                <c:pt idx="92">
                  <c:v>276.43876632106532</c:v>
                </c:pt>
                <c:pt idx="93">
                  <c:v>276.44124000651777</c:v>
                </c:pt>
                <c:pt idx="94">
                  <c:v>276.44371370533128</c:v>
                </c:pt>
                <c:pt idx="95">
                  <c:v>276.44618741749315</c:v>
                </c:pt>
                <c:pt idx="96">
                  <c:v>276.4486611430263</c:v>
                </c:pt>
                <c:pt idx="97">
                  <c:v>276.45113488192118</c:v>
                </c:pt>
                <c:pt idx="98">
                  <c:v>276.45360863417397</c:v>
                </c:pt>
                <c:pt idx="99">
                  <c:v>276.45608239977867</c:v>
                </c:pt>
                <c:pt idx="100">
                  <c:v>276.45855617875384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2B-42EF-9099-01974338112A}"/>
            </c:ext>
          </c:extLst>
        </c:ser>
        <c:ser>
          <c:idx val="1"/>
          <c:order val="1"/>
          <c:tx>
            <c:v>Actual</c:v>
          </c:tx>
          <c:spPr>
            <a:ln w="19050" cap="rnd">
              <a:solidFill>
                <a:schemeClr val="accent4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OptionsPlots!$E$2:$E$102</c:f>
              <c:numCache>
                <c:formatCode>0.000%</c:formatCode>
                <c:ptCount val="101"/>
                <c:pt idx="0">
                  <c:v>4.4999999999999999E-4</c:v>
                </c:pt>
                <c:pt idx="1">
                  <c:v>4.4999999999999999E-4</c:v>
                </c:pt>
                <c:pt idx="2">
                  <c:v>4.4999999999999999E-4</c:v>
                </c:pt>
                <c:pt idx="3">
                  <c:v>4.4999999999999999E-4</c:v>
                </c:pt>
                <c:pt idx="4">
                  <c:v>4.4999999999999999E-4</c:v>
                </c:pt>
                <c:pt idx="5">
                  <c:v>4.4999999999999999E-4</c:v>
                </c:pt>
                <c:pt idx="6">
                  <c:v>4.4999999999999999E-4</c:v>
                </c:pt>
                <c:pt idx="7">
                  <c:v>4.4999999999999999E-4</c:v>
                </c:pt>
                <c:pt idx="8">
                  <c:v>4.4999999999999999E-4</c:v>
                </c:pt>
                <c:pt idx="9">
                  <c:v>4.4999999999999999E-4</c:v>
                </c:pt>
                <c:pt idx="10">
                  <c:v>4.4999999999999999E-4</c:v>
                </c:pt>
                <c:pt idx="11">
                  <c:v>4.4999999999999999E-4</c:v>
                </c:pt>
                <c:pt idx="12">
                  <c:v>4.4999999999999999E-4</c:v>
                </c:pt>
                <c:pt idx="13">
                  <c:v>4.4999999999999999E-4</c:v>
                </c:pt>
                <c:pt idx="14">
                  <c:v>4.4999999999999999E-4</c:v>
                </c:pt>
                <c:pt idx="15">
                  <c:v>4.4999999999999999E-4</c:v>
                </c:pt>
                <c:pt idx="16">
                  <c:v>4.4999999999999999E-4</c:v>
                </c:pt>
                <c:pt idx="17">
                  <c:v>4.4999999999999999E-4</c:v>
                </c:pt>
                <c:pt idx="18">
                  <c:v>4.4999999999999999E-4</c:v>
                </c:pt>
                <c:pt idx="19">
                  <c:v>4.4999999999999999E-4</c:v>
                </c:pt>
                <c:pt idx="20">
                  <c:v>4.4999999999999999E-4</c:v>
                </c:pt>
                <c:pt idx="21">
                  <c:v>4.4999999999999999E-4</c:v>
                </c:pt>
                <c:pt idx="22">
                  <c:v>4.4999999999999999E-4</c:v>
                </c:pt>
                <c:pt idx="23">
                  <c:v>4.4999999999999999E-4</c:v>
                </c:pt>
                <c:pt idx="24">
                  <c:v>4.4999999999999999E-4</c:v>
                </c:pt>
                <c:pt idx="25">
                  <c:v>4.4999999999999999E-4</c:v>
                </c:pt>
                <c:pt idx="26">
                  <c:v>4.4999999999999999E-4</c:v>
                </c:pt>
                <c:pt idx="27">
                  <c:v>4.4999999999999999E-4</c:v>
                </c:pt>
                <c:pt idx="28">
                  <c:v>4.4999999999999999E-4</c:v>
                </c:pt>
                <c:pt idx="29">
                  <c:v>4.4999999999999999E-4</c:v>
                </c:pt>
                <c:pt idx="30">
                  <c:v>4.4999999999999999E-4</c:v>
                </c:pt>
                <c:pt idx="31">
                  <c:v>4.4999999999999999E-4</c:v>
                </c:pt>
                <c:pt idx="32">
                  <c:v>4.4999999999999999E-4</c:v>
                </c:pt>
                <c:pt idx="33">
                  <c:v>4.4999999999999999E-4</c:v>
                </c:pt>
                <c:pt idx="34">
                  <c:v>4.4999999999999999E-4</c:v>
                </c:pt>
                <c:pt idx="35">
                  <c:v>4.4999999999999999E-4</c:v>
                </c:pt>
                <c:pt idx="36">
                  <c:v>4.4999999999999999E-4</c:v>
                </c:pt>
                <c:pt idx="37">
                  <c:v>4.4999999999999999E-4</c:v>
                </c:pt>
                <c:pt idx="38">
                  <c:v>4.4999999999999999E-4</c:v>
                </c:pt>
                <c:pt idx="39">
                  <c:v>4.4999999999999999E-4</c:v>
                </c:pt>
                <c:pt idx="40">
                  <c:v>4.4999999999999999E-4</c:v>
                </c:pt>
                <c:pt idx="41">
                  <c:v>4.4999999999999999E-4</c:v>
                </c:pt>
                <c:pt idx="42">
                  <c:v>4.4999999999999999E-4</c:v>
                </c:pt>
                <c:pt idx="43">
                  <c:v>4.4999999999999999E-4</c:v>
                </c:pt>
                <c:pt idx="44">
                  <c:v>4.4999999999999999E-4</c:v>
                </c:pt>
                <c:pt idx="45">
                  <c:v>4.4999999999999999E-4</c:v>
                </c:pt>
                <c:pt idx="46">
                  <c:v>4.4999999999999999E-4</c:v>
                </c:pt>
                <c:pt idx="47">
                  <c:v>4.4999999999999999E-4</c:v>
                </c:pt>
                <c:pt idx="48">
                  <c:v>4.4999999999999999E-4</c:v>
                </c:pt>
                <c:pt idx="49">
                  <c:v>4.4999999999999999E-4</c:v>
                </c:pt>
                <c:pt idx="50">
                  <c:v>4.4999999999999999E-4</c:v>
                </c:pt>
                <c:pt idx="51">
                  <c:v>4.4999999999999999E-4</c:v>
                </c:pt>
                <c:pt idx="52">
                  <c:v>4.4999999999999999E-4</c:v>
                </c:pt>
                <c:pt idx="53">
                  <c:v>4.4999999999999999E-4</c:v>
                </c:pt>
                <c:pt idx="54">
                  <c:v>4.4999999999999999E-4</c:v>
                </c:pt>
                <c:pt idx="55">
                  <c:v>4.4999999999999999E-4</c:v>
                </c:pt>
                <c:pt idx="56">
                  <c:v>4.4999999999999999E-4</c:v>
                </c:pt>
                <c:pt idx="57">
                  <c:v>4.4999999999999999E-4</c:v>
                </c:pt>
                <c:pt idx="58">
                  <c:v>4.4999999999999999E-4</c:v>
                </c:pt>
                <c:pt idx="59">
                  <c:v>4.4999999999999999E-4</c:v>
                </c:pt>
                <c:pt idx="60">
                  <c:v>4.4999999999999999E-4</c:v>
                </c:pt>
                <c:pt idx="61">
                  <c:v>4.4999999999999999E-4</c:v>
                </c:pt>
                <c:pt idx="62">
                  <c:v>4.4999999999999999E-4</c:v>
                </c:pt>
                <c:pt idx="63">
                  <c:v>4.4999999999999999E-4</c:v>
                </c:pt>
                <c:pt idx="64">
                  <c:v>4.4999999999999999E-4</c:v>
                </c:pt>
                <c:pt idx="65">
                  <c:v>4.4999999999999999E-4</c:v>
                </c:pt>
                <c:pt idx="66">
                  <c:v>4.4999999999999999E-4</c:v>
                </c:pt>
                <c:pt idx="67">
                  <c:v>4.4999999999999999E-4</c:v>
                </c:pt>
                <c:pt idx="68">
                  <c:v>4.4999999999999999E-4</c:v>
                </c:pt>
                <c:pt idx="69">
                  <c:v>4.4999999999999999E-4</c:v>
                </c:pt>
                <c:pt idx="70">
                  <c:v>4.4999999999999999E-4</c:v>
                </c:pt>
                <c:pt idx="71">
                  <c:v>4.4999999999999999E-4</c:v>
                </c:pt>
                <c:pt idx="72">
                  <c:v>4.4999999999999999E-4</c:v>
                </c:pt>
                <c:pt idx="73">
                  <c:v>4.4999999999999999E-4</c:v>
                </c:pt>
                <c:pt idx="74">
                  <c:v>4.4999999999999999E-4</c:v>
                </c:pt>
                <c:pt idx="75">
                  <c:v>4.4999999999999999E-4</c:v>
                </c:pt>
                <c:pt idx="76">
                  <c:v>4.4999999999999999E-4</c:v>
                </c:pt>
                <c:pt idx="77">
                  <c:v>4.4999999999999999E-4</c:v>
                </c:pt>
                <c:pt idx="78">
                  <c:v>4.4999999999999999E-4</c:v>
                </c:pt>
                <c:pt idx="79">
                  <c:v>4.4999999999999999E-4</c:v>
                </c:pt>
                <c:pt idx="80">
                  <c:v>4.4999999999999999E-4</c:v>
                </c:pt>
                <c:pt idx="81">
                  <c:v>4.4999999999999999E-4</c:v>
                </c:pt>
                <c:pt idx="82">
                  <c:v>4.4999999999999999E-4</c:v>
                </c:pt>
                <c:pt idx="83">
                  <c:v>4.4999999999999999E-4</c:v>
                </c:pt>
                <c:pt idx="84">
                  <c:v>4.4999999999999999E-4</c:v>
                </c:pt>
                <c:pt idx="85">
                  <c:v>4.4999999999999999E-4</c:v>
                </c:pt>
                <c:pt idx="86">
                  <c:v>4.4999999999999999E-4</c:v>
                </c:pt>
                <c:pt idx="87">
                  <c:v>4.4999999999999999E-4</c:v>
                </c:pt>
                <c:pt idx="88">
                  <c:v>4.4999999999999999E-4</c:v>
                </c:pt>
                <c:pt idx="89">
                  <c:v>4.4999999999999999E-4</c:v>
                </c:pt>
                <c:pt idx="90">
                  <c:v>4.4999999999999999E-4</c:v>
                </c:pt>
                <c:pt idx="91">
                  <c:v>4.4999999999999999E-4</c:v>
                </c:pt>
                <c:pt idx="92">
                  <c:v>4.4999999999999999E-4</c:v>
                </c:pt>
                <c:pt idx="93">
                  <c:v>4.4999999999999999E-4</c:v>
                </c:pt>
                <c:pt idx="94">
                  <c:v>4.4999999999999999E-4</c:v>
                </c:pt>
                <c:pt idx="95">
                  <c:v>4.4999999999999999E-4</c:v>
                </c:pt>
                <c:pt idx="96">
                  <c:v>4.4999999999999999E-4</c:v>
                </c:pt>
                <c:pt idx="97">
                  <c:v>4.4999999999999999E-4</c:v>
                </c:pt>
                <c:pt idx="98">
                  <c:v>4.4999999999999999E-4</c:v>
                </c:pt>
                <c:pt idx="99">
                  <c:v>4.4999999999999999E-4</c:v>
                </c:pt>
                <c:pt idx="100">
                  <c:v>4.4999999999999999E-4</c:v>
                </c:pt>
              </c:numCache>
            </c:numRef>
          </c:xVal>
          <c:yVal>
            <c:numRef>
              <c:f>OptionsPlots!$D$2:$D$102</c:f>
              <c:numCache>
                <c:formatCode>_("$"* #,##0.00_);_("$"* \(#,##0.00\);_("$"* "-"??_);_(@_)</c:formatCode>
                <c:ptCount val="101"/>
                <c:pt idx="0">
                  <c:v>276.21124441737811</c:v>
                </c:pt>
                <c:pt idx="1">
                  <c:v>276.21371687361346</c:v>
                </c:pt>
                <c:pt idx="2">
                  <c:v>276.21618934320855</c:v>
                </c:pt>
                <c:pt idx="3">
                  <c:v>276.21866182615457</c:v>
                </c:pt>
                <c:pt idx="4">
                  <c:v>276.22113432247295</c:v>
                </c:pt>
                <c:pt idx="5">
                  <c:v>276.22360683215402</c:v>
                </c:pt>
                <c:pt idx="6">
                  <c:v>276.22607935519471</c:v>
                </c:pt>
                <c:pt idx="7">
                  <c:v>276.22855189158997</c:v>
                </c:pt>
                <c:pt idx="8">
                  <c:v>276.23102444135361</c:v>
                </c:pt>
                <c:pt idx="9">
                  <c:v>276.23349700448136</c:v>
                </c:pt>
                <c:pt idx="10">
                  <c:v>276.23596958096937</c:v>
                </c:pt>
                <c:pt idx="11">
                  <c:v>276.23844217081097</c:v>
                </c:pt>
                <c:pt idx="12">
                  <c:v>276.24091477402089</c:v>
                </c:pt>
                <c:pt idx="13">
                  <c:v>276.2433873905955</c:v>
                </c:pt>
                <c:pt idx="14">
                  <c:v>276.24586002053093</c:v>
                </c:pt>
                <c:pt idx="15">
                  <c:v>276.24833266381836</c:v>
                </c:pt>
                <c:pt idx="16">
                  <c:v>276.25080532047701</c:v>
                </c:pt>
                <c:pt idx="17">
                  <c:v>276.25327799049558</c:v>
                </c:pt>
                <c:pt idx="18">
                  <c:v>276.25575067387723</c:v>
                </c:pt>
                <c:pt idx="19">
                  <c:v>276.25822337060993</c:v>
                </c:pt>
                <c:pt idx="20">
                  <c:v>276.26069608071288</c:v>
                </c:pt>
                <c:pt idx="21">
                  <c:v>276.26316880418176</c:v>
                </c:pt>
                <c:pt idx="22">
                  <c:v>276.26564154100748</c:v>
                </c:pt>
                <c:pt idx="23">
                  <c:v>276.26811429118555</c:v>
                </c:pt>
                <c:pt idx="24">
                  <c:v>276.27058705473758</c:v>
                </c:pt>
                <c:pt idx="25">
                  <c:v>276.2730598316478</c:v>
                </c:pt>
                <c:pt idx="26">
                  <c:v>276.27553262192157</c:v>
                </c:pt>
                <c:pt idx="27">
                  <c:v>276.27800542554672</c:v>
                </c:pt>
                <c:pt idx="28">
                  <c:v>276.28047824254202</c:v>
                </c:pt>
                <c:pt idx="29">
                  <c:v>276.2829510728991</c:v>
                </c:pt>
                <c:pt idx="30">
                  <c:v>276.28542391661728</c:v>
                </c:pt>
                <c:pt idx="31">
                  <c:v>276.28789677368906</c:v>
                </c:pt>
                <c:pt idx="32">
                  <c:v>276.29036964412921</c:v>
                </c:pt>
                <c:pt idx="33">
                  <c:v>276.29284252793036</c:v>
                </c:pt>
                <c:pt idx="34">
                  <c:v>276.2953154250954</c:v>
                </c:pt>
                <c:pt idx="35">
                  <c:v>276.29778833560937</c:v>
                </c:pt>
                <c:pt idx="36">
                  <c:v>276.30026125949468</c:v>
                </c:pt>
                <c:pt idx="37">
                  <c:v>276.30273419674222</c:v>
                </c:pt>
                <c:pt idx="38">
                  <c:v>276.30520714735434</c:v>
                </c:pt>
                <c:pt idx="39">
                  <c:v>276.30768011131227</c:v>
                </c:pt>
                <c:pt idx="40">
                  <c:v>276.31015308864431</c:v>
                </c:pt>
                <c:pt idx="41">
                  <c:v>276.31262607933473</c:v>
                </c:pt>
                <c:pt idx="42">
                  <c:v>276.31509908338813</c:v>
                </c:pt>
                <c:pt idx="43">
                  <c:v>276.31757210079462</c:v>
                </c:pt>
                <c:pt idx="44">
                  <c:v>276.32004513156841</c:v>
                </c:pt>
                <c:pt idx="45">
                  <c:v>276.32251817570716</c:v>
                </c:pt>
                <c:pt idx="46">
                  <c:v>276.32499123320417</c:v>
                </c:pt>
                <c:pt idx="47">
                  <c:v>276.327464304052</c:v>
                </c:pt>
                <c:pt idx="48">
                  <c:v>276.32993738827139</c:v>
                </c:pt>
                <c:pt idx="49">
                  <c:v>276.33241048585268</c:v>
                </c:pt>
                <c:pt idx="50">
                  <c:v>276.33488359679581</c:v>
                </c:pt>
                <c:pt idx="51">
                  <c:v>276.33735672108884</c:v>
                </c:pt>
                <c:pt idx="52">
                  <c:v>276.33982985875406</c:v>
                </c:pt>
                <c:pt idx="53">
                  <c:v>276.34230300977799</c:v>
                </c:pt>
                <c:pt idx="54">
                  <c:v>276.34477617416439</c:v>
                </c:pt>
                <c:pt idx="55">
                  <c:v>276.34724935190206</c:v>
                </c:pt>
                <c:pt idx="56">
                  <c:v>276.34972254300806</c:v>
                </c:pt>
                <c:pt idx="57">
                  <c:v>276.35219574747936</c:v>
                </c:pt>
                <c:pt idx="58">
                  <c:v>276.35466896531</c:v>
                </c:pt>
                <c:pt idx="59">
                  <c:v>276.35714219648804</c:v>
                </c:pt>
                <c:pt idx="60">
                  <c:v>276.35961544103941</c:v>
                </c:pt>
                <c:pt idx="61">
                  <c:v>276.36208869895302</c:v>
                </c:pt>
                <c:pt idx="62">
                  <c:v>276.36456197022659</c:v>
                </c:pt>
                <c:pt idx="63">
                  <c:v>276.36703525485029</c:v>
                </c:pt>
                <c:pt idx="64">
                  <c:v>276.3695085528451</c:v>
                </c:pt>
                <c:pt idx="65">
                  <c:v>276.37198186420119</c:v>
                </c:pt>
                <c:pt idx="66">
                  <c:v>276.37445518891781</c:v>
                </c:pt>
                <c:pt idx="67">
                  <c:v>276.37692852698603</c:v>
                </c:pt>
                <c:pt idx="68">
                  <c:v>276.37940187842435</c:v>
                </c:pt>
                <c:pt idx="69">
                  <c:v>276.3818752432216</c:v>
                </c:pt>
                <c:pt idx="70">
                  <c:v>276.38434862138143</c:v>
                </c:pt>
                <c:pt idx="71">
                  <c:v>276.38682201289203</c:v>
                </c:pt>
                <c:pt idx="72">
                  <c:v>276.3892954177748</c:v>
                </c:pt>
                <c:pt idx="73">
                  <c:v>276.39176883601414</c:v>
                </c:pt>
                <c:pt idx="74">
                  <c:v>276.39424226761747</c:v>
                </c:pt>
                <c:pt idx="75">
                  <c:v>276.39671571256906</c:v>
                </c:pt>
                <c:pt idx="76">
                  <c:v>276.39918917089352</c:v>
                </c:pt>
                <c:pt idx="77">
                  <c:v>276.40166264257817</c:v>
                </c:pt>
                <c:pt idx="78">
                  <c:v>276.40413612762211</c:v>
                </c:pt>
                <c:pt idx="79">
                  <c:v>276.40660962601794</c:v>
                </c:pt>
                <c:pt idx="80">
                  <c:v>276.40908313778425</c:v>
                </c:pt>
                <c:pt idx="81">
                  <c:v>276.41155666291127</c:v>
                </c:pt>
                <c:pt idx="82">
                  <c:v>276.41403020139904</c:v>
                </c:pt>
                <c:pt idx="83">
                  <c:v>276.41650375323633</c:v>
                </c:pt>
                <c:pt idx="84">
                  <c:v>276.4189773184446</c:v>
                </c:pt>
                <c:pt idx="85">
                  <c:v>276.42145089701285</c:v>
                </c:pt>
                <c:pt idx="86">
                  <c:v>276.42392448894304</c:v>
                </c:pt>
                <c:pt idx="87">
                  <c:v>276.42639809422042</c:v>
                </c:pt>
                <c:pt idx="88">
                  <c:v>276.4288717128702</c:v>
                </c:pt>
                <c:pt idx="89">
                  <c:v>276.43134534488343</c:v>
                </c:pt>
                <c:pt idx="90">
                  <c:v>276.43381899025331</c:v>
                </c:pt>
                <c:pt idx="91">
                  <c:v>276.43629264897544</c:v>
                </c:pt>
                <c:pt idx="92">
                  <c:v>276.43876632106532</c:v>
                </c:pt>
                <c:pt idx="93">
                  <c:v>276.44124000651777</c:v>
                </c:pt>
                <c:pt idx="94">
                  <c:v>276.44371370533128</c:v>
                </c:pt>
                <c:pt idx="95">
                  <c:v>276.44618741749315</c:v>
                </c:pt>
                <c:pt idx="96">
                  <c:v>276.4486611430263</c:v>
                </c:pt>
                <c:pt idx="97">
                  <c:v>276.45113488192118</c:v>
                </c:pt>
                <c:pt idx="98">
                  <c:v>276.45360863417397</c:v>
                </c:pt>
                <c:pt idx="99">
                  <c:v>276.45608239977867</c:v>
                </c:pt>
                <c:pt idx="100">
                  <c:v>276.45855617875384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2B-42EF-9099-019743381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42927"/>
        <c:axId val="331938351"/>
      </c:scatterChart>
      <c:valAx>
        <c:axId val="331942927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risk-free rate (EAR)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1938351"/>
        <c:crosses val="autoZero"/>
        <c:crossBetween val="midCat"/>
      </c:valAx>
      <c:valAx>
        <c:axId val="33193835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Option price</a:t>
                </a:r>
                <a:r>
                  <a:rPr lang="es-MX" sz="800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($)</a:t>
                </a:r>
                <a:endParaRPr lang="es-MX" sz="800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c:rich>
          </c:tx>
          <c:layout>
            <c:manualLayout>
              <c:xMode val="edge"/>
              <c:yMode val="edge"/>
              <c:x val="7.479002624671916E-3"/>
              <c:y val="0.113965345039834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19429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797933070866144"/>
          <c:y val="0.86653078763384661"/>
          <c:w val="0.62042650918635167"/>
          <c:h val="0.12500087489063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52958721068957"/>
          <c:y val="9.0311986863711002E-2"/>
          <c:w val="0.80235425117314874"/>
          <c:h val="0.65645889091449772"/>
        </c:manualLayout>
      </c:layout>
      <c:scatterChart>
        <c:scatterStyle val="lineMarker"/>
        <c:varyColors val="0"/>
        <c:ser>
          <c:idx val="0"/>
          <c:order val="0"/>
          <c:tx>
            <c:v>Calls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'YF Calls'!$C$2:$C$1076</c:f>
              <c:numCache>
                <c:formatCode>General</c:formatCode>
                <c:ptCount val="1075"/>
                <c:pt idx="0">
                  <c:v>140</c:v>
                </c:pt>
                <c:pt idx="1">
                  <c:v>135</c:v>
                </c:pt>
                <c:pt idx="2">
                  <c:v>145</c:v>
                </c:pt>
                <c:pt idx="3">
                  <c:v>130</c:v>
                </c:pt>
                <c:pt idx="4">
                  <c:v>150</c:v>
                </c:pt>
                <c:pt idx="5">
                  <c:v>125</c:v>
                </c:pt>
                <c:pt idx="6">
                  <c:v>160</c:v>
                </c:pt>
                <c:pt idx="7">
                  <c:v>120</c:v>
                </c:pt>
                <c:pt idx="8">
                  <c:v>155</c:v>
                </c:pt>
                <c:pt idx="9">
                  <c:v>136</c:v>
                </c:pt>
                <c:pt idx="10">
                  <c:v>165</c:v>
                </c:pt>
                <c:pt idx="11">
                  <c:v>137</c:v>
                </c:pt>
                <c:pt idx="12">
                  <c:v>170</c:v>
                </c:pt>
                <c:pt idx="13">
                  <c:v>180</c:v>
                </c:pt>
                <c:pt idx="14">
                  <c:v>142</c:v>
                </c:pt>
                <c:pt idx="15">
                  <c:v>138</c:v>
                </c:pt>
                <c:pt idx="16">
                  <c:v>134</c:v>
                </c:pt>
                <c:pt idx="17">
                  <c:v>139</c:v>
                </c:pt>
                <c:pt idx="18">
                  <c:v>230</c:v>
                </c:pt>
                <c:pt idx="19">
                  <c:v>143</c:v>
                </c:pt>
                <c:pt idx="20">
                  <c:v>200</c:v>
                </c:pt>
                <c:pt idx="21">
                  <c:v>132</c:v>
                </c:pt>
                <c:pt idx="22">
                  <c:v>141</c:v>
                </c:pt>
                <c:pt idx="23">
                  <c:v>144</c:v>
                </c:pt>
                <c:pt idx="24">
                  <c:v>175</c:v>
                </c:pt>
                <c:pt idx="25">
                  <c:v>146</c:v>
                </c:pt>
                <c:pt idx="26">
                  <c:v>152.5</c:v>
                </c:pt>
                <c:pt idx="27">
                  <c:v>148</c:v>
                </c:pt>
                <c:pt idx="28">
                  <c:v>149</c:v>
                </c:pt>
                <c:pt idx="29">
                  <c:v>147</c:v>
                </c:pt>
                <c:pt idx="30">
                  <c:v>133</c:v>
                </c:pt>
                <c:pt idx="31">
                  <c:v>190</c:v>
                </c:pt>
                <c:pt idx="32">
                  <c:v>115</c:v>
                </c:pt>
                <c:pt idx="33">
                  <c:v>131</c:v>
                </c:pt>
                <c:pt idx="34">
                  <c:v>110</c:v>
                </c:pt>
                <c:pt idx="35">
                  <c:v>129</c:v>
                </c:pt>
                <c:pt idx="36">
                  <c:v>100</c:v>
                </c:pt>
                <c:pt idx="37">
                  <c:v>185</c:v>
                </c:pt>
                <c:pt idx="38">
                  <c:v>195</c:v>
                </c:pt>
                <c:pt idx="39">
                  <c:v>127</c:v>
                </c:pt>
                <c:pt idx="40">
                  <c:v>128</c:v>
                </c:pt>
                <c:pt idx="41">
                  <c:v>210</c:v>
                </c:pt>
                <c:pt idx="42">
                  <c:v>157.5</c:v>
                </c:pt>
                <c:pt idx="43">
                  <c:v>215</c:v>
                </c:pt>
                <c:pt idx="44">
                  <c:v>205</c:v>
                </c:pt>
                <c:pt idx="45">
                  <c:v>225</c:v>
                </c:pt>
                <c:pt idx="46">
                  <c:v>90</c:v>
                </c:pt>
                <c:pt idx="47">
                  <c:v>126</c:v>
                </c:pt>
                <c:pt idx="48">
                  <c:v>220</c:v>
                </c:pt>
                <c:pt idx="49">
                  <c:v>121</c:v>
                </c:pt>
                <c:pt idx="50">
                  <c:v>105</c:v>
                </c:pt>
                <c:pt idx="51">
                  <c:v>118</c:v>
                </c:pt>
                <c:pt idx="52">
                  <c:v>30</c:v>
                </c:pt>
                <c:pt idx="53">
                  <c:v>95</c:v>
                </c:pt>
                <c:pt idx="54">
                  <c:v>60</c:v>
                </c:pt>
                <c:pt idx="55">
                  <c:v>119</c:v>
                </c:pt>
                <c:pt idx="56">
                  <c:v>117</c:v>
                </c:pt>
                <c:pt idx="57">
                  <c:v>122</c:v>
                </c:pt>
                <c:pt idx="58">
                  <c:v>123</c:v>
                </c:pt>
                <c:pt idx="59">
                  <c:v>124</c:v>
                </c:pt>
                <c:pt idx="60">
                  <c:v>80</c:v>
                </c:pt>
                <c:pt idx="61">
                  <c:v>85</c:v>
                </c:pt>
                <c:pt idx="62">
                  <c:v>55</c:v>
                </c:pt>
                <c:pt idx="63">
                  <c:v>116</c:v>
                </c:pt>
                <c:pt idx="64">
                  <c:v>114</c:v>
                </c:pt>
                <c:pt idx="65">
                  <c:v>25</c:v>
                </c:pt>
                <c:pt idx="66">
                  <c:v>113</c:v>
                </c:pt>
                <c:pt idx="67">
                  <c:v>70</c:v>
                </c:pt>
                <c:pt idx="68">
                  <c:v>75</c:v>
                </c:pt>
                <c:pt idx="69">
                  <c:v>112</c:v>
                </c:pt>
                <c:pt idx="70">
                  <c:v>108</c:v>
                </c:pt>
                <c:pt idx="71">
                  <c:v>109</c:v>
                </c:pt>
                <c:pt idx="72">
                  <c:v>111</c:v>
                </c:pt>
                <c:pt idx="73">
                  <c:v>40</c:v>
                </c:pt>
                <c:pt idx="74">
                  <c:v>35</c:v>
                </c:pt>
                <c:pt idx="75">
                  <c:v>107</c:v>
                </c:pt>
                <c:pt idx="76">
                  <c:v>102</c:v>
                </c:pt>
                <c:pt idx="77">
                  <c:v>106</c:v>
                </c:pt>
                <c:pt idx="78">
                  <c:v>101</c:v>
                </c:pt>
                <c:pt idx="79">
                  <c:v>104</c:v>
                </c:pt>
                <c:pt idx="80">
                  <c:v>103</c:v>
                </c:pt>
                <c:pt idx="81">
                  <c:v>65</c:v>
                </c:pt>
                <c:pt idx="82">
                  <c:v>50</c:v>
                </c:pt>
                <c:pt idx="83">
                  <c:v>45</c:v>
                </c:pt>
              </c:numCache>
            </c:numRef>
          </c:xVal>
          <c:yVal>
            <c:numRef>
              <c:f>'YF Calls'!$K$2:$K$1076</c:f>
              <c:numCache>
                <c:formatCode>General</c:formatCode>
                <c:ptCount val="1075"/>
                <c:pt idx="0">
                  <c:v>0.28320000000000001</c:v>
                </c:pt>
                <c:pt idx="1">
                  <c:v>0.26269999999999999</c:v>
                </c:pt>
                <c:pt idx="2">
                  <c:v>0.34960000000000002</c:v>
                </c:pt>
                <c:pt idx="3">
                  <c:v>0.34129999999999999</c:v>
                </c:pt>
                <c:pt idx="4">
                  <c:v>0.43559999999999999</c:v>
                </c:pt>
                <c:pt idx="5">
                  <c:v>0.49020000000000002</c:v>
                </c:pt>
                <c:pt idx="6">
                  <c:v>0.58589999999999998</c:v>
                </c:pt>
                <c:pt idx="7">
                  <c:v>0.57809999999999995</c:v>
                </c:pt>
                <c:pt idx="8">
                  <c:v>0.51170000000000004</c:v>
                </c:pt>
                <c:pt idx="9">
                  <c:v>0.26290000000000002</c:v>
                </c:pt>
                <c:pt idx="10">
                  <c:v>0.64059999999999995</c:v>
                </c:pt>
                <c:pt idx="11">
                  <c:v>0.26419999999999999</c:v>
                </c:pt>
                <c:pt idx="12">
                  <c:v>0.65629999999999999</c:v>
                </c:pt>
                <c:pt idx="13">
                  <c:v>0.8125</c:v>
                </c:pt>
                <c:pt idx="14">
                  <c:v>0.30620000000000003</c:v>
                </c:pt>
                <c:pt idx="15">
                  <c:v>0.2666</c:v>
                </c:pt>
                <c:pt idx="16">
                  <c:v>0.27339999999999998</c:v>
                </c:pt>
                <c:pt idx="17">
                  <c:v>0.27489999999999998</c:v>
                </c:pt>
                <c:pt idx="18">
                  <c:v>1.4063000000000001</c:v>
                </c:pt>
                <c:pt idx="19">
                  <c:v>0.32229999999999998</c:v>
                </c:pt>
                <c:pt idx="20">
                  <c:v>1.0625</c:v>
                </c:pt>
                <c:pt idx="21">
                  <c:v>0.30620000000000003</c:v>
                </c:pt>
                <c:pt idx="22">
                  <c:v>0.29199999999999998</c:v>
                </c:pt>
                <c:pt idx="23">
                  <c:v>0.33200000000000002</c:v>
                </c:pt>
                <c:pt idx="24">
                  <c:v>0.71879999999999999</c:v>
                </c:pt>
                <c:pt idx="25">
                  <c:v>0.36330000000000001</c:v>
                </c:pt>
                <c:pt idx="26">
                  <c:v>0.48049999999999998</c:v>
                </c:pt>
                <c:pt idx="27">
                  <c:v>0.40629999999999999</c:v>
                </c:pt>
                <c:pt idx="28">
                  <c:v>0.4219</c:v>
                </c:pt>
                <c:pt idx="29">
                  <c:v>0.38090000000000002</c:v>
                </c:pt>
                <c:pt idx="30">
                  <c:v>0.29149999999999998</c:v>
                </c:pt>
                <c:pt idx="31">
                  <c:v>0.9375</c:v>
                </c:pt>
                <c:pt idx="32">
                  <c:v>0.6875</c:v>
                </c:pt>
                <c:pt idx="33">
                  <c:v>0.32179999999999997</c:v>
                </c:pt>
                <c:pt idx="34">
                  <c:v>0.74219999999999997</c:v>
                </c:pt>
                <c:pt idx="35">
                  <c:v>0.36909999999999998</c:v>
                </c:pt>
                <c:pt idx="36">
                  <c:v>1.0390999999999999</c:v>
                </c:pt>
                <c:pt idx="37">
                  <c:v>0.875</c:v>
                </c:pt>
                <c:pt idx="38">
                  <c:v>1</c:v>
                </c:pt>
                <c:pt idx="39">
                  <c:v>0.41410000000000002</c:v>
                </c:pt>
                <c:pt idx="40">
                  <c:v>0.39360000000000001</c:v>
                </c:pt>
                <c:pt idx="41">
                  <c:v>1.1875</c:v>
                </c:pt>
                <c:pt idx="42">
                  <c:v>0.53910000000000002</c:v>
                </c:pt>
                <c:pt idx="43">
                  <c:v>1.25</c:v>
                </c:pt>
                <c:pt idx="44">
                  <c:v>1.125</c:v>
                </c:pt>
                <c:pt idx="45">
                  <c:v>1.3438000000000001</c:v>
                </c:pt>
                <c:pt idx="46">
                  <c:v>1.3672</c:v>
                </c:pt>
                <c:pt idx="47">
                  <c:v>0.45219999999999999</c:v>
                </c:pt>
                <c:pt idx="48">
                  <c:v>1.3125</c:v>
                </c:pt>
                <c:pt idx="49">
                  <c:v>0.54490000000000005</c:v>
                </c:pt>
                <c:pt idx="50">
                  <c:v>0.89059999999999995</c:v>
                </c:pt>
                <c:pt idx="51">
                  <c:v>0.59379999999999999</c:v>
                </c:pt>
                <c:pt idx="52">
                  <c:v>4.9843999999999999</c:v>
                </c:pt>
                <c:pt idx="53">
                  <c:v>1.2031000000000001</c:v>
                </c:pt>
                <c:pt idx="54">
                  <c:v>2.5937999999999999</c:v>
                </c:pt>
                <c:pt idx="55">
                  <c:v>0.61129999999999995</c:v>
                </c:pt>
                <c:pt idx="56">
                  <c:v>0.625</c:v>
                </c:pt>
                <c:pt idx="57">
                  <c:v>0.51270000000000004</c:v>
                </c:pt>
                <c:pt idx="58">
                  <c:v>0.54</c:v>
                </c:pt>
                <c:pt idx="59">
                  <c:v>0.50390000000000001</c:v>
                </c:pt>
                <c:pt idx="60">
                  <c:v>1.7188000000000001</c:v>
                </c:pt>
                <c:pt idx="61">
                  <c:v>1.5390999999999999</c:v>
                </c:pt>
                <c:pt idx="62">
                  <c:v>2.8437999999999999</c:v>
                </c:pt>
                <c:pt idx="63">
                  <c:v>0.65629999999999999</c:v>
                </c:pt>
                <c:pt idx="64">
                  <c:v>0.71879999999999999</c:v>
                </c:pt>
                <c:pt idx="65">
                  <c:v>5.8125</c:v>
                </c:pt>
                <c:pt idx="66">
                  <c:v>0.752</c:v>
                </c:pt>
                <c:pt idx="67">
                  <c:v>2.125</c:v>
                </c:pt>
                <c:pt idx="68">
                  <c:v>1.9218999999999999</c:v>
                </c:pt>
                <c:pt idx="69">
                  <c:v>0.78320000000000001</c:v>
                </c:pt>
                <c:pt idx="70">
                  <c:v>0.80079999999999996</c:v>
                </c:pt>
                <c:pt idx="71">
                  <c:v>0.77339999999999998</c:v>
                </c:pt>
                <c:pt idx="72">
                  <c:v>0.71089999999999998</c:v>
                </c:pt>
                <c:pt idx="73">
                  <c:v>3.25</c:v>
                </c:pt>
                <c:pt idx="74">
                  <c:v>3.625</c:v>
                </c:pt>
                <c:pt idx="75">
                  <c:v>0.82809999999999995</c:v>
                </c:pt>
                <c:pt idx="76">
                  <c:v>0.97660000000000002</c:v>
                </c:pt>
                <c:pt idx="77">
                  <c:v>0.85940000000000005</c:v>
                </c:pt>
                <c:pt idx="78">
                  <c:v>1.0078</c:v>
                </c:pt>
                <c:pt idx="79">
                  <c:v>0.92190000000000005</c:v>
                </c:pt>
                <c:pt idx="80">
                  <c:v>0.95309999999999995</c:v>
                </c:pt>
                <c:pt idx="81">
                  <c:v>2.5078</c:v>
                </c:pt>
                <c:pt idx="82">
                  <c:v>2.625</c:v>
                </c:pt>
                <c:pt idx="83">
                  <c:v>2.9375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30-4A2A-8AD3-EF7E42524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543632"/>
        <c:axId val="807544464"/>
      </c:scatterChart>
      <c:valAx>
        <c:axId val="80754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Strike ($)</a:t>
                </a:r>
              </a:p>
            </c:rich>
          </c:tx>
          <c:layout>
            <c:manualLayout>
              <c:xMode val="edge"/>
              <c:yMode val="edge"/>
              <c:x val="0.47840759961822948"/>
              <c:y val="0.871551400902473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07544464"/>
        <c:crosses val="autoZero"/>
        <c:crossBetween val="midCat"/>
      </c:valAx>
      <c:valAx>
        <c:axId val="80754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Implied volatility (%)</a:t>
                </a:r>
              </a:p>
            </c:rich>
          </c:tx>
          <c:layout>
            <c:manualLayout>
              <c:xMode val="edge"/>
              <c:yMode val="edge"/>
              <c:x val="9.46969696969697E-3"/>
              <c:y val="0.125314508100280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07543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15584983695219"/>
          <c:y val="9.0311986863711002E-2"/>
          <c:w val="0.78972798854688619"/>
          <c:h val="0.65645889091449772"/>
        </c:manualLayout>
      </c:layout>
      <c:scatterChart>
        <c:scatterStyle val="lineMarker"/>
        <c:varyColors val="0"/>
        <c:ser>
          <c:idx val="0"/>
          <c:order val="0"/>
          <c:tx>
            <c:v>Puts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'YF Puts'!$C$2:$C$1077</c:f>
              <c:numCache>
                <c:formatCode>General</c:formatCode>
                <c:ptCount val="1076"/>
                <c:pt idx="0">
                  <c:v>130</c:v>
                </c:pt>
                <c:pt idx="1">
                  <c:v>120</c:v>
                </c:pt>
                <c:pt idx="2">
                  <c:v>135</c:v>
                </c:pt>
                <c:pt idx="3">
                  <c:v>115</c:v>
                </c:pt>
                <c:pt idx="4">
                  <c:v>110</c:v>
                </c:pt>
                <c:pt idx="5">
                  <c:v>105</c:v>
                </c:pt>
                <c:pt idx="6">
                  <c:v>125</c:v>
                </c:pt>
                <c:pt idx="7">
                  <c:v>100</c:v>
                </c:pt>
                <c:pt idx="8">
                  <c:v>140</c:v>
                </c:pt>
                <c:pt idx="9">
                  <c:v>136</c:v>
                </c:pt>
                <c:pt idx="10">
                  <c:v>131</c:v>
                </c:pt>
                <c:pt idx="11">
                  <c:v>132</c:v>
                </c:pt>
                <c:pt idx="12">
                  <c:v>150</c:v>
                </c:pt>
                <c:pt idx="13">
                  <c:v>126</c:v>
                </c:pt>
                <c:pt idx="14">
                  <c:v>128</c:v>
                </c:pt>
                <c:pt idx="15">
                  <c:v>127</c:v>
                </c:pt>
                <c:pt idx="16">
                  <c:v>121</c:v>
                </c:pt>
                <c:pt idx="17">
                  <c:v>133</c:v>
                </c:pt>
                <c:pt idx="18">
                  <c:v>129</c:v>
                </c:pt>
                <c:pt idx="19">
                  <c:v>145</c:v>
                </c:pt>
                <c:pt idx="20">
                  <c:v>134</c:v>
                </c:pt>
                <c:pt idx="21">
                  <c:v>90</c:v>
                </c:pt>
                <c:pt idx="22">
                  <c:v>85</c:v>
                </c:pt>
                <c:pt idx="23">
                  <c:v>95</c:v>
                </c:pt>
                <c:pt idx="24">
                  <c:v>137</c:v>
                </c:pt>
                <c:pt idx="25">
                  <c:v>139</c:v>
                </c:pt>
                <c:pt idx="26">
                  <c:v>119</c:v>
                </c:pt>
                <c:pt idx="27">
                  <c:v>80</c:v>
                </c:pt>
                <c:pt idx="28">
                  <c:v>141</c:v>
                </c:pt>
                <c:pt idx="29">
                  <c:v>124</c:v>
                </c:pt>
                <c:pt idx="30">
                  <c:v>142</c:v>
                </c:pt>
                <c:pt idx="31">
                  <c:v>122</c:v>
                </c:pt>
                <c:pt idx="32">
                  <c:v>75</c:v>
                </c:pt>
                <c:pt idx="33">
                  <c:v>138</c:v>
                </c:pt>
                <c:pt idx="34">
                  <c:v>144</c:v>
                </c:pt>
                <c:pt idx="35">
                  <c:v>118</c:v>
                </c:pt>
                <c:pt idx="36">
                  <c:v>50</c:v>
                </c:pt>
                <c:pt idx="37">
                  <c:v>107</c:v>
                </c:pt>
                <c:pt idx="38">
                  <c:v>123</c:v>
                </c:pt>
                <c:pt idx="39">
                  <c:v>117</c:v>
                </c:pt>
                <c:pt idx="40">
                  <c:v>60</c:v>
                </c:pt>
                <c:pt idx="41">
                  <c:v>102</c:v>
                </c:pt>
                <c:pt idx="42">
                  <c:v>114</c:v>
                </c:pt>
                <c:pt idx="43">
                  <c:v>55</c:v>
                </c:pt>
                <c:pt idx="44">
                  <c:v>143</c:v>
                </c:pt>
                <c:pt idx="45">
                  <c:v>70</c:v>
                </c:pt>
                <c:pt idx="46">
                  <c:v>112</c:v>
                </c:pt>
                <c:pt idx="47">
                  <c:v>111</c:v>
                </c:pt>
                <c:pt idx="48">
                  <c:v>45</c:v>
                </c:pt>
                <c:pt idx="49">
                  <c:v>113</c:v>
                </c:pt>
                <c:pt idx="50">
                  <c:v>109</c:v>
                </c:pt>
                <c:pt idx="51">
                  <c:v>103</c:v>
                </c:pt>
                <c:pt idx="52">
                  <c:v>155</c:v>
                </c:pt>
                <c:pt idx="53">
                  <c:v>160</c:v>
                </c:pt>
                <c:pt idx="54">
                  <c:v>116</c:v>
                </c:pt>
                <c:pt idx="55">
                  <c:v>108</c:v>
                </c:pt>
                <c:pt idx="56">
                  <c:v>106</c:v>
                </c:pt>
                <c:pt idx="57">
                  <c:v>165</c:v>
                </c:pt>
                <c:pt idx="58">
                  <c:v>147</c:v>
                </c:pt>
                <c:pt idx="59">
                  <c:v>101</c:v>
                </c:pt>
                <c:pt idx="60">
                  <c:v>170</c:v>
                </c:pt>
                <c:pt idx="61">
                  <c:v>65</c:v>
                </c:pt>
                <c:pt idx="62">
                  <c:v>146</c:v>
                </c:pt>
                <c:pt idx="63">
                  <c:v>149</c:v>
                </c:pt>
                <c:pt idx="64">
                  <c:v>148</c:v>
                </c:pt>
                <c:pt idx="65">
                  <c:v>175</c:v>
                </c:pt>
                <c:pt idx="66">
                  <c:v>152.5</c:v>
                </c:pt>
                <c:pt idx="67">
                  <c:v>104</c:v>
                </c:pt>
                <c:pt idx="68">
                  <c:v>157.5</c:v>
                </c:pt>
                <c:pt idx="69">
                  <c:v>200</c:v>
                </c:pt>
                <c:pt idx="70">
                  <c:v>35</c:v>
                </c:pt>
                <c:pt idx="71">
                  <c:v>40</c:v>
                </c:pt>
                <c:pt idx="72">
                  <c:v>25</c:v>
                </c:pt>
                <c:pt idx="73">
                  <c:v>230</c:v>
                </c:pt>
                <c:pt idx="74">
                  <c:v>180</c:v>
                </c:pt>
                <c:pt idx="75">
                  <c:v>30</c:v>
                </c:pt>
                <c:pt idx="76">
                  <c:v>185</c:v>
                </c:pt>
                <c:pt idx="77">
                  <c:v>205</c:v>
                </c:pt>
                <c:pt idx="78">
                  <c:v>195</c:v>
                </c:pt>
                <c:pt idx="79">
                  <c:v>220</c:v>
                </c:pt>
                <c:pt idx="80">
                  <c:v>215</c:v>
                </c:pt>
                <c:pt idx="81">
                  <c:v>225</c:v>
                </c:pt>
                <c:pt idx="82">
                  <c:v>210</c:v>
                </c:pt>
                <c:pt idx="83">
                  <c:v>190</c:v>
                </c:pt>
              </c:numCache>
            </c:numRef>
          </c:xVal>
          <c:yVal>
            <c:numRef>
              <c:f>'YF Puts'!$K$2:$K$1077</c:f>
              <c:numCache>
                <c:formatCode>General</c:formatCode>
                <c:ptCount val="1076"/>
                <c:pt idx="0">
                  <c:v>0.313</c:v>
                </c:pt>
                <c:pt idx="1">
                  <c:v>0.53710000000000002</c:v>
                </c:pt>
                <c:pt idx="2">
                  <c:v>0.25950000000000001</c:v>
                </c:pt>
                <c:pt idx="3">
                  <c:v>0.66800000000000004</c:v>
                </c:pt>
                <c:pt idx="4">
                  <c:v>0.75780000000000003</c:v>
                </c:pt>
                <c:pt idx="5">
                  <c:v>0.875</c:v>
                </c:pt>
                <c:pt idx="6">
                  <c:v>0.42580000000000001</c:v>
                </c:pt>
                <c:pt idx="7">
                  <c:v>0.96879999999999999</c:v>
                </c:pt>
                <c:pt idx="8">
                  <c:v>0.2959</c:v>
                </c:pt>
                <c:pt idx="9">
                  <c:v>0.25829999999999997</c:v>
                </c:pt>
                <c:pt idx="10">
                  <c:v>0.2949</c:v>
                </c:pt>
                <c:pt idx="11">
                  <c:v>0.28079999999999999</c:v>
                </c:pt>
                <c:pt idx="12">
                  <c:v>0.49020000000000002</c:v>
                </c:pt>
                <c:pt idx="13">
                  <c:v>0.40229999999999999</c:v>
                </c:pt>
                <c:pt idx="14">
                  <c:v>0.35299999999999998</c:v>
                </c:pt>
                <c:pt idx="15">
                  <c:v>0.376</c:v>
                </c:pt>
                <c:pt idx="16">
                  <c:v>0.51559999999999995</c:v>
                </c:pt>
                <c:pt idx="17">
                  <c:v>0.27100000000000002</c:v>
                </c:pt>
                <c:pt idx="18">
                  <c:v>0.3301</c:v>
                </c:pt>
                <c:pt idx="19">
                  <c:v>0.38279999999999997</c:v>
                </c:pt>
                <c:pt idx="20">
                  <c:v>0.26319999999999999</c:v>
                </c:pt>
                <c:pt idx="21">
                  <c:v>1.1563000000000001</c:v>
                </c:pt>
                <c:pt idx="22">
                  <c:v>1.3125</c:v>
                </c:pt>
                <c:pt idx="23">
                  <c:v>1</c:v>
                </c:pt>
                <c:pt idx="24">
                  <c:v>0.26269999999999999</c:v>
                </c:pt>
                <c:pt idx="25">
                  <c:v>0.27739999999999998</c:v>
                </c:pt>
                <c:pt idx="26">
                  <c:v>0.5625</c:v>
                </c:pt>
                <c:pt idx="27">
                  <c:v>1.4375</c:v>
                </c:pt>
                <c:pt idx="28">
                  <c:v>0.30759999999999998</c:v>
                </c:pt>
                <c:pt idx="29">
                  <c:v>0.4531</c:v>
                </c:pt>
                <c:pt idx="30">
                  <c:v>0.32719999999999999</c:v>
                </c:pt>
                <c:pt idx="31">
                  <c:v>0.49709999999999999</c:v>
                </c:pt>
                <c:pt idx="32">
                  <c:v>1.625</c:v>
                </c:pt>
                <c:pt idx="33">
                  <c:v>0.27050000000000002</c:v>
                </c:pt>
                <c:pt idx="34">
                  <c:v>0.375</c:v>
                </c:pt>
                <c:pt idx="35">
                  <c:v>0.58789999999999998</c:v>
                </c:pt>
                <c:pt idx="36">
                  <c:v>2.6875</c:v>
                </c:pt>
                <c:pt idx="37">
                  <c:v>0.82809999999999995</c:v>
                </c:pt>
                <c:pt idx="38">
                  <c:v>0.47270000000000001</c:v>
                </c:pt>
                <c:pt idx="39">
                  <c:v>0.61329999999999996</c:v>
                </c:pt>
                <c:pt idx="40">
                  <c:v>2.1875</c:v>
                </c:pt>
                <c:pt idx="41">
                  <c:v>0.9375</c:v>
                </c:pt>
                <c:pt idx="42">
                  <c:v>0.67969999999999997</c:v>
                </c:pt>
                <c:pt idx="43">
                  <c:v>2.4375</c:v>
                </c:pt>
                <c:pt idx="44">
                  <c:v>0.34279999999999999</c:v>
                </c:pt>
                <c:pt idx="45">
                  <c:v>1.8125</c:v>
                </c:pt>
                <c:pt idx="46">
                  <c:v>0.72270000000000001</c:v>
                </c:pt>
                <c:pt idx="47">
                  <c:v>0.75</c:v>
                </c:pt>
                <c:pt idx="48">
                  <c:v>2.9375</c:v>
                </c:pt>
                <c:pt idx="49">
                  <c:v>0.70309999999999995</c:v>
                </c:pt>
                <c:pt idx="50">
                  <c:v>0.78910000000000002</c:v>
                </c:pt>
                <c:pt idx="51">
                  <c:v>0.92969999999999997</c:v>
                </c:pt>
                <c:pt idx="52">
                  <c:v>0.61429999999999996</c:v>
                </c:pt>
                <c:pt idx="53">
                  <c:v>0.57030000000000003</c:v>
                </c:pt>
                <c:pt idx="54">
                  <c:v>0.63670000000000004</c:v>
                </c:pt>
                <c:pt idx="55">
                  <c:v>0.81640000000000001</c:v>
                </c:pt>
                <c:pt idx="56">
                  <c:v>0.84379999999999999</c:v>
                </c:pt>
                <c:pt idx="57">
                  <c:v>0.66410000000000002</c:v>
                </c:pt>
                <c:pt idx="58">
                  <c:v>0.44040000000000001</c:v>
                </c:pt>
                <c:pt idx="59">
                  <c:v>0.9375</c:v>
                </c:pt>
                <c:pt idx="60">
                  <c:v>0.875</c:v>
                </c:pt>
                <c:pt idx="61">
                  <c:v>1.9688000000000001</c:v>
                </c:pt>
                <c:pt idx="62">
                  <c:v>0.41210000000000002</c:v>
                </c:pt>
                <c:pt idx="63">
                  <c:v>0.49609999999999999</c:v>
                </c:pt>
                <c:pt idx="64">
                  <c:v>0.46879999999999999</c:v>
                </c:pt>
                <c:pt idx="65">
                  <c:v>1.2578</c:v>
                </c:pt>
                <c:pt idx="66">
                  <c:v>0.55269999999999997</c:v>
                </c:pt>
                <c:pt idx="67">
                  <c:v>0.89839999999999998</c:v>
                </c:pt>
                <c:pt idx="68">
                  <c:v>0.52339999999999998</c:v>
                </c:pt>
                <c:pt idx="69">
                  <c:v>1.2031000000000001</c:v>
                </c:pt>
                <c:pt idx="70">
                  <c:v>3.625</c:v>
                </c:pt>
                <c:pt idx="71">
                  <c:v>3.25</c:v>
                </c:pt>
                <c:pt idx="72">
                  <c:v>4.5</c:v>
                </c:pt>
                <c:pt idx="73">
                  <c:v>2.2422</c:v>
                </c:pt>
                <c:pt idx="74">
                  <c:v>1.3652</c:v>
                </c:pt>
                <c:pt idx="75">
                  <c:v>3.9375</c:v>
                </c:pt>
                <c:pt idx="76">
                  <c:v>1.1445000000000001</c:v>
                </c:pt>
                <c:pt idx="77">
                  <c:v>0</c:v>
                </c:pt>
                <c:pt idx="78">
                  <c:v>1.1406000000000001</c:v>
                </c:pt>
                <c:pt idx="79">
                  <c:v>1.6679999999999999</c:v>
                </c:pt>
                <c:pt idx="80">
                  <c:v>2.0097999999999998</c:v>
                </c:pt>
                <c:pt idx="81">
                  <c:v>1.5313000000000001</c:v>
                </c:pt>
                <c:pt idx="82">
                  <c:v>1.5313000000000001</c:v>
                </c:pt>
                <c:pt idx="83">
                  <c:v>1.2265999999999999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A5-4F2A-91D3-6361A0652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543632"/>
        <c:axId val="807544464"/>
      </c:scatterChart>
      <c:valAx>
        <c:axId val="80754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Strike ($)</a:t>
                </a:r>
              </a:p>
            </c:rich>
          </c:tx>
          <c:layout>
            <c:manualLayout>
              <c:xMode val="edge"/>
              <c:yMode val="edge"/>
              <c:x val="0.47840759961822948"/>
              <c:y val="0.871551400902473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07544464"/>
        <c:crosses val="autoZero"/>
        <c:crossBetween val="midCat"/>
      </c:valAx>
      <c:valAx>
        <c:axId val="80754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Implied volatility (%)</a:t>
                </a:r>
              </a:p>
            </c:rich>
          </c:tx>
          <c:layout>
            <c:manualLayout>
              <c:xMode val="edge"/>
              <c:yMode val="edge"/>
              <c:x val="9.46969696969697E-3"/>
              <c:y val="0.125314508100280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07543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0</xdr:colOff>
      <xdr:row>13</xdr:row>
      <xdr:rowOff>0</xdr:rowOff>
    </xdr:from>
    <xdr:to>
      <xdr:col>109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CA29A8-942F-48D0-B33B-A4AC5DCD48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37</xdr:col>
      <xdr:colOff>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306219-57A5-465D-B378-6152CB8074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36</xdr:row>
      <xdr:rowOff>0</xdr:rowOff>
    </xdr:from>
    <xdr:to>
      <xdr:col>47</xdr:col>
      <xdr:colOff>0</xdr:colOff>
      <xdr:row>45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0830942-2CB0-4AF7-8D86-435C0FA08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0</xdr:colOff>
      <xdr:row>36</xdr:row>
      <xdr:rowOff>0</xdr:rowOff>
    </xdr:from>
    <xdr:to>
      <xdr:col>71</xdr:col>
      <xdr:colOff>22860</xdr:colOff>
      <xdr:row>45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67CC74-1889-4F34-A1B0-A32AE662A3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75</xdr:col>
      <xdr:colOff>0</xdr:colOff>
      <xdr:row>28</xdr:row>
      <xdr:rowOff>0</xdr:rowOff>
    </xdr:from>
    <xdr:to>
      <xdr:col>108</xdr:col>
      <xdr:colOff>0</xdr:colOff>
      <xdr:row>36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EB6BB7A-F417-4C96-AFED-C728EDB7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75</xdr:col>
      <xdr:colOff>0</xdr:colOff>
      <xdr:row>37</xdr:row>
      <xdr:rowOff>0</xdr:rowOff>
    </xdr:from>
    <xdr:to>
      <xdr:col>108</xdr:col>
      <xdr:colOff>0</xdr:colOff>
      <xdr:row>45</xdr:row>
      <xdr:rowOff>22860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05CF1E7-A552-46AE-A873-9914D99AAF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1BFB681-09B1-4CD2-B62F-49DB286260B5}" autoFormatId="16" applyNumberFormats="0" applyBorderFormats="0" applyFontFormats="0" applyPatternFormats="0" applyAlignmentFormats="0" applyWidthHeightFormats="0">
  <queryTableRefresh nextId="2">
    <queryTableFields count="1">
      <queryTableField id="1" name="Symbol (ref)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5D0876FD-5E08-4106-B50B-CAA3392CFDFF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B5DFC0E8-7BA2-4872-ABA4-9E6462723A27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6" xr16:uid="{F6C0A008-D3F5-4C14-A4F4-1D7FEE68DB69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*" tableColumnId="5"/>
      <queryTableField id="6" name="Adj Close**" tableColumnId="6"/>
      <queryTableField id="7" name="Volume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4" xr16:uid="{570E24F3-AFF8-445D-B731-E4CEFE9C025A}" autoFormatId="16" applyNumberFormats="0" applyBorderFormats="0" applyFontFormats="0" applyPatternFormats="0" applyAlignmentFormats="0" applyWidthHeightFormats="0">
  <queryTableRefresh nextId="12">
    <queryTableFields count="11">
      <queryTableField id="1" name="Contract Name" tableColumnId="1"/>
      <queryTableField id="2" name="Last Trade Date" tableColumnId="2"/>
      <queryTableField id="3" name="Strike" tableColumnId="3"/>
      <queryTableField id="4" name="Last Price" tableColumnId="4"/>
      <queryTableField id="5" name="Bid" tableColumnId="5"/>
      <queryTableField id="6" name="Ask" tableColumnId="6"/>
      <queryTableField id="7" name="Change" tableColumnId="7"/>
      <queryTableField id="8" name="% Change" tableColumnId="8"/>
      <queryTableField id="9" name="Volume" tableColumnId="9"/>
      <queryTableField id="10" name="Open Interest" tableColumnId="10"/>
      <queryTableField id="11" name="Implied Volatility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5" xr16:uid="{B0BAA4B2-906D-4D45-A31D-2CF8BBB62BE1}" autoFormatId="16" applyNumberFormats="0" applyBorderFormats="0" applyFontFormats="0" applyPatternFormats="0" applyAlignmentFormats="0" applyWidthHeightFormats="0">
  <queryTableRefresh nextId="12">
    <queryTableFields count="11">
      <queryTableField id="1" name="Contract Name" tableColumnId="1"/>
      <queryTableField id="2" name="Last Trade Date" tableColumnId="2"/>
      <queryTableField id="3" name="Strike" tableColumnId="3"/>
      <queryTableField id="4" name="Last Price" tableColumnId="4"/>
      <queryTableField id="5" name="Bid" tableColumnId="5"/>
      <queryTableField id="6" name="Ask" tableColumnId="6"/>
      <queryTableField id="7" name="Change" tableColumnId="7"/>
      <queryTableField id="8" name="% Change" tableColumnId="8"/>
      <queryTableField id="9" name="Volume" tableColumnId="9"/>
      <queryTableField id="10" name="Open Interest" tableColumnId="10"/>
      <queryTableField id="11" name="Implied Volatility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52C9604-DEC7-4EF4-8334-F8C068BDAA0F}" autoFormatId="16" applyNumberFormats="0" applyBorderFormats="0" applyFontFormats="0" applyPatternFormats="0" applyAlignmentFormats="0" applyWidthHeightFormats="0">
  <queryTableRefresh nextId="6">
    <queryTableFields count="5">
      <queryTableField id="1" name="Last 5 Days" tableColumnId="1"/>
      <queryTableField id="2" name="OPEN" tableColumnId="2"/>
      <queryTableField id="3" name="HIGH" tableColumnId="3"/>
      <queryTableField id="4" name="LOW" tableColumnId="4"/>
      <queryTableField id="5" name="CLOS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99D5D13-FA5A-495A-A429-6AC41E116B0B}" name="Symbol__ref" displayName="Symbol__ref" ref="A1:A2" tableType="queryTable" totalsRowShown="0">
  <autoFilter ref="A1:A2" xr:uid="{D6207587-15EE-4A7A-9A47-381892386415}"/>
  <tableColumns count="1">
    <tableColumn id="1" xr3:uid="{6027608F-AF7D-4A4B-B5A5-1C6E3002F9DD}" uniqueName="1" name="Symbol (ref)" queryTableFieldId="1" dataDxf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7C7FF3B-88C8-4F0C-B611-F300EF8C10D8}" name="YF_Summary_A" displayName="YF_Summary_A" ref="A1:B9" tableType="queryTable" totalsRowShown="0">
  <autoFilter ref="A1:B9" xr:uid="{DA82FD2F-C614-44AC-A3E9-FD8522468B02}"/>
  <tableColumns count="2">
    <tableColumn id="1" xr3:uid="{1FDAD597-7873-427D-855D-6241CE9A2401}" uniqueName="1" name="Column1" queryTableFieldId="1" dataDxfId="19"/>
    <tableColumn id="2" xr3:uid="{DC1665A4-8B3F-469A-9056-5658704E0111}" uniqueName="2" name="Column2" queryTableFieldId="2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9360A4C-8082-4E1E-A59A-2E5FB7C63B82}" name="YF_Summary_B" displayName="YF_Summary_B" ref="A1:B9" tableType="queryTable" totalsRowShown="0">
  <autoFilter ref="A1:B9" xr:uid="{A58FB6AF-9F90-4DC2-9561-CB3E2A2E64DB}"/>
  <tableColumns count="2">
    <tableColumn id="1" xr3:uid="{124B7A43-0C70-4BEA-90DD-15C9BA1A2965}" uniqueName="1" name="Column1" queryTableFieldId="1" dataDxfId="5"/>
    <tableColumn id="2" xr3:uid="{73000842-6C72-4697-98A4-250704C9D708}" uniqueName="2" name="Column2" queryTableFieldId="2" dataDxf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926278E-99F6-4DEA-9A95-8673FD07BBD0}" name="YF_Spot" displayName="YF_Spot" ref="A1:G99" tableType="queryTable" totalsRowShown="0">
  <autoFilter ref="A1:G99" xr:uid="{D201459A-1084-4CE6-99BE-6FF3D5D67FF1}"/>
  <tableColumns count="7">
    <tableColumn id="1" xr3:uid="{44E15E25-55A4-4D8E-9FFF-6A9A6C19A32D}" uniqueName="1" name="Date" queryTableFieldId="1" dataDxfId="17"/>
    <tableColumn id="2" xr3:uid="{C6837D4F-5A0C-481B-876A-11B2EA41665B}" uniqueName="2" name="Open" queryTableFieldId="2" dataDxfId="16"/>
    <tableColumn id="3" xr3:uid="{6D4AA061-87FD-4E5E-8642-E8B6BBA14774}" uniqueName="3" name="High" queryTableFieldId="3" dataDxfId="15"/>
    <tableColumn id="4" xr3:uid="{EBD8EC78-CBE1-46D5-92DB-B318E0DCFD5F}" uniqueName="4" name="Low" queryTableFieldId="4" dataDxfId="14"/>
    <tableColumn id="5" xr3:uid="{425334AD-CAF4-4367-9529-868B99045149}" uniqueName="5" name="Close*" queryTableFieldId="5" dataDxfId="13"/>
    <tableColumn id="6" xr3:uid="{55C1BB61-BDC5-41FF-ADF7-69E5EA04B93D}" uniqueName="6" name="Adj Close**" queryTableFieldId="6" dataDxfId="12"/>
    <tableColumn id="7" xr3:uid="{2A8E416B-0B01-4E4F-A17C-DAC24EC85FF7}" uniqueName="7" name="Volume" queryTableFieldId="7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FFAD70A-43A3-415F-A436-CB2813D7EE6C}" name="YF_Calls" displayName="YF_Calls" ref="A1:K85" tableType="queryTable" totalsRowShown="0">
  <autoFilter ref="A1:K85" xr:uid="{92884ECB-DFFC-4D0D-A7EB-247D9CA97962}"/>
  <tableColumns count="11">
    <tableColumn id="1" xr3:uid="{240CB158-7F4A-456A-B9D1-3350018BF32F}" uniqueName="1" name="Contract Name" queryTableFieldId="1" dataDxfId="3"/>
    <tableColumn id="2" xr3:uid="{F56A718A-A5E0-4434-B24E-A87A4F804AF7}" uniqueName="2" name="Last Trade Date" queryTableFieldId="2" dataDxfId="2"/>
    <tableColumn id="3" xr3:uid="{C0997390-11CD-41BA-96C2-FDBD51E68857}" uniqueName="3" name="Strike" queryTableFieldId="3"/>
    <tableColumn id="4" xr3:uid="{0E423A31-36F7-437F-A248-426774374C2F}" uniqueName="4" name="Last Price" queryTableFieldId="4"/>
    <tableColumn id="5" xr3:uid="{2B18A98E-D07D-4E83-A7C6-F0908CC8B1EA}" uniqueName="5" name="Bid" queryTableFieldId="5"/>
    <tableColumn id="6" xr3:uid="{A7067FB1-CAA0-4CB8-A49D-9387BF68B75A}" uniqueName="6" name="Ask" queryTableFieldId="6"/>
    <tableColumn id="7" xr3:uid="{AAC0EA32-20C5-40AF-9432-6DAA631AC19D}" uniqueName="7" name="Change" queryTableFieldId="7"/>
    <tableColumn id="8" xr3:uid="{D1D248FE-88FB-4CB8-8262-E2AE807E0378}" uniqueName="8" name="% Change" queryTableFieldId="8" dataDxfId="1"/>
    <tableColumn id="9" xr3:uid="{72D7F43F-D7D1-49AA-801B-3E22E00E4790}" uniqueName="9" name="Volume" queryTableFieldId="9" dataDxfId="0"/>
    <tableColumn id="10" xr3:uid="{C872A919-AEF0-44B2-8FB8-11C7CD72AE8D}" uniqueName="10" name="Open Interest" queryTableFieldId="10"/>
    <tableColumn id="11" xr3:uid="{DD753E89-E5A2-40EE-8CF0-0B89C4590529}" uniqueName="11" name="Implied Volatility" queryTableFieldId="1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5F15AC8-0255-43DC-BBE3-98B76A7D04A1}" name="YF_Puts" displayName="YF_Puts" ref="A1:K85" tableType="queryTable" totalsRowShown="0">
  <autoFilter ref="A1:K85" xr:uid="{EB96A17F-790C-4053-A551-61FB2FFA13E3}"/>
  <tableColumns count="11">
    <tableColumn id="1" xr3:uid="{47265513-0ABA-445C-B1F0-1982C62F7E39}" uniqueName="1" name="Contract Name" queryTableFieldId="1" dataDxfId="9"/>
    <tableColumn id="2" xr3:uid="{4587CB51-543A-40EF-BED0-0C6E7E451B47}" uniqueName="2" name="Last Trade Date" queryTableFieldId="2" dataDxfId="8"/>
    <tableColumn id="3" xr3:uid="{D574020C-21F2-4CE8-8003-A50A9FF4940C}" uniqueName="3" name="Strike" queryTableFieldId="3"/>
    <tableColumn id="4" xr3:uid="{BEDFFEA1-55D2-40A2-A70E-95255C0ED190}" uniqueName="4" name="Last Price" queryTableFieldId="4"/>
    <tableColumn id="5" xr3:uid="{2206A1EA-E491-4B08-B4F9-0476A006FA99}" uniqueName="5" name="Bid" queryTableFieldId="5"/>
    <tableColumn id="6" xr3:uid="{203E7D33-A109-42F0-B036-2DD98F1049CB}" uniqueName="6" name="Ask" queryTableFieldId="6"/>
    <tableColumn id="7" xr3:uid="{D6157453-1B06-4429-833E-44E6F6E850CB}" uniqueName="7" name="Change" queryTableFieldId="7"/>
    <tableColumn id="8" xr3:uid="{3C26C397-A3A9-4C6C-B1F5-565550D88599}" uniqueName="8" name="% Change" queryTableFieldId="8" dataDxfId="7"/>
    <tableColumn id="9" xr3:uid="{0EBC5497-8BA9-4630-ABD8-158C697889C0}" uniqueName="9" name="Volume" queryTableFieldId="9" dataDxfId="6"/>
    <tableColumn id="10" xr3:uid="{9EEED748-4C8C-4F67-8796-F06930505607}" uniqueName="10" name="Open Interest" queryTableFieldId="10"/>
    <tableColumn id="11" xr3:uid="{38574C09-EAFF-4F04-BF7B-622B2926B952}" uniqueName="11" name="Implied Volatility" queryTableFieldId="1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28D442-DEA6-489F-99B9-0D18BCE35913}" name="T_Bills_3M" displayName="T_Bills_3M" ref="A1:E6" tableType="queryTable" totalsRowShown="0">
  <autoFilter ref="A1:E6" xr:uid="{064A4B16-8838-4BB4-B22A-93573DFB0F68}"/>
  <tableColumns count="5">
    <tableColumn id="1" xr3:uid="{545F1A0B-60AB-4028-9B8F-EAE8C5CE4745}" uniqueName="1" name="Last 5 Days" queryTableFieldId="1" dataDxfId="10"/>
    <tableColumn id="2" xr3:uid="{4D34DB34-D35A-42D4-AF94-DAB2386B4254}" uniqueName="2" name="OPEN" queryTableFieldId="2"/>
    <tableColumn id="3" xr3:uid="{3CD86C5C-C79F-4C08-A9EE-54523138EA22}" uniqueName="3" name="HIGH" queryTableFieldId="3"/>
    <tableColumn id="4" xr3:uid="{9B2643D8-80CA-427E-B46F-16662A46664C}" uniqueName="4" name="LOW" queryTableFieldId="4"/>
    <tableColumn id="5" xr3:uid="{76264B28-3ADB-4E40-86B4-C41508FA2843}" uniqueName="5" name="CLOSE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5A902-72CA-470B-996D-ACE4BB402FE0}">
  <sheetPr codeName="Sheet1"/>
  <dimension ref="B1:DI149"/>
  <sheetViews>
    <sheetView showGridLines="0" tabSelected="1" topLeftCell="A22" zoomScaleNormal="100" workbookViewId="0">
      <selection activeCell="BN35" sqref="BN35:BS35"/>
    </sheetView>
  </sheetViews>
  <sheetFormatPr defaultRowHeight="15" x14ac:dyDescent="0.35"/>
  <cols>
    <col min="1" max="58" width="1.77734375" style="7" customWidth="1"/>
    <col min="59" max="71" width="1.88671875" style="7" customWidth="1"/>
    <col min="72" max="182" width="1.77734375" style="7" customWidth="1"/>
    <col min="183" max="16384" width="8.88671875" style="7"/>
  </cols>
  <sheetData>
    <row r="1" spans="2:109" ht="15.6" thickBot="1" x14ac:dyDescent="0.4"/>
    <row r="2" spans="2:109" ht="43.2" customHeight="1" thickBot="1" x14ac:dyDescent="0.4">
      <c r="B2" s="20"/>
      <c r="C2" s="115" t="s">
        <v>40</v>
      </c>
      <c r="D2" s="115"/>
      <c r="E2" s="115"/>
      <c r="F2" s="115"/>
      <c r="G2" s="115"/>
      <c r="H2" s="115"/>
      <c r="I2" s="118" t="str">
        <f>Symbol__ref[[#This Row],[Symbol (ref)]]</f>
        <v>AAPL</v>
      </c>
      <c r="J2" s="118"/>
      <c r="K2" s="118"/>
      <c r="L2" s="118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115" t="s">
        <v>51</v>
      </c>
      <c r="AE2" s="115"/>
      <c r="AF2" s="115"/>
      <c r="AG2" s="115"/>
      <c r="AH2" s="115"/>
      <c r="AI2" s="115"/>
      <c r="AJ2" s="115"/>
      <c r="AK2" s="123">
        <f>MAX(YF_Spot[[#All],[Date]])</f>
        <v>44239</v>
      </c>
      <c r="AL2" s="123"/>
      <c r="AM2" s="123"/>
      <c r="AN2" s="123"/>
      <c r="AO2" s="123"/>
      <c r="AP2" s="123"/>
      <c r="AQ2" s="123"/>
      <c r="AR2" s="22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115" t="s">
        <v>68</v>
      </c>
      <c r="BJ2" s="115"/>
      <c r="BK2" s="115"/>
      <c r="BL2" s="115"/>
      <c r="BM2" s="115"/>
      <c r="BN2" s="115"/>
      <c r="BO2" s="115"/>
      <c r="BP2" s="123" t="str">
        <f>'YF Summary B'!B6</f>
        <v>Apr 28, 2021 - May 03, 2021</v>
      </c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21"/>
      <c r="CH2" s="21"/>
      <c r="CI2" s="21"/>
      <c r="CJ2" s="21"/>
      <c r="CK2" s="21"/>
      <c r="CL2" s="23"/>
      <c r="CM2" s="23"/>
      <c r="CN2" s="23"/>
      <c r="CO2" s="23"/>
      <c r="CP2" s="21"/>
      <c r="CQ2" s="21"/>
      <c r="CR2" s="21"/>
      <c r="CS2" s="115" t="s">
        <v>42</v>
      </c>
      <c r="CT2" s="115"/>
      <c r="CU2" s="115"/>
      <c r="CV2" s="115"/>
      <c r="CW2" s="115"/>
      <c r="CX2" s="115"/>
      <c r="CY2" s="125">
        <f>VLOOKUP(AK2,YF_Spot[#All],5,FALSE)</f>
        <v>135.37</v>
      </c>
      <c r="CZ2" s="125"/>
      <c r="DA2" s="125"/>
      <c r="DB2" s="125"/>
      <c r="DC2" s="125"/>
      <c r="DD2" s="125"/>
      <c r="DE2" s="24"/>
    </row>
    <row r="3" spans="2:109" x14ac:dyDescent="0.3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25"/>
      <c r="AL3" s="27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28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5"/>
    </row>
    <row r="4" spans="2:109" x14ac:dyDescent="0.35">
      <c r="B4" s="6"/>
      <c r="D4" s="79" t="s">
        <v>77</v>
      </c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K4" s="26"/>
      <c r="AL4" s="29"/>
      <c r="AN4" s="79" t="s">
        <v>92</v>
      </c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U4" s="30"/>
      <c r="BX4" s="79" t="s">
        <v>43</v>
      </c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E4" s="8"/>
    </row>
    <row r="5" spans="2:109" x14ac:dyDescent="0.35">
      <c r="B5" s="6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K5" s="26"/>
      <c r="AL5" s="2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U5" s="30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E5" s="8"/>
    </row>
    <row r="6" spans="2:109" x14ac:dyDescent="0.35">
      <c r="B6" s="34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6"/>
      <c r="AL6" s="37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8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9"/>
    </row>
    <row r="7" spans="2:109" x14ac:dyDescent="0.35">
      <c r="B7" s="34"/>
      <c r="C7" s="35"/>
      <c r="D7" s="108" t="s">
        <v>47</v>
      </c>
      <c r="E7" s="108"/>
      <c r="F7" s="108"/>
      <c r="G7" s="108"/>
      <c r="H7" s="108"/>
      <c r="I7" s="108"/>
      <c r="J7" s="108"/>
      <c r="K7" s="129" t="s">
        <v>57</v>
      </c>
      <c r="L7" s="129"/>
      <c r="M7" s="129"/>
      <c r="N7" s="129"/>
      <c r="O7" s="129"/>
      <c r="P7" s="129"/>
      <c r="Q7" s="129"/>
      <c r="R7" s="35"/>
      <c r="S7" s="35"/>
      <c r="T7" s="35"/>
      <c r="U7" s="108" t="s">
        <v>53</v>
      </c>
      <c r="V7" s="108"/>
      <c r="W7" s="108"/>
      <c r="X7" s="108"/>
      <c r="Y7" s="108"/>
      <c r="Z7" s="108"/>
      <c r="AA7" s="108"/>
      <c r="AB7" s="116">
        <f>CY2</f>
        <v>135.37</v>
      </c>
      <c r="AC7" s="116"/>
      <c r="AD7" s="116"/>
      <c r="AE7" s="116"/>
      <c r="AF7" s="116"/>
      <c r="AG7" s="116"/>
      <c r="AH7" s="116"/>
      <c r="AI7" s="35"/>
      <c r="AJ7" s="35"/>
      <c r="AK7" s="36"/>
      <c r="AL7" s="37"/>
      <c r="AM7" s="35"/>
      <c r="AN7" s="82" t="s">
        <v>90</v>
      </c>
      <c r="AO7" s="82"/>
      <c r="AP7" s="82"/>
      <c r="AQ7" s="82"/>
      <c r="AR7" s="82"/>
      <c r="AS7" s="82"/>
      <c r="AT7" s="82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112" t="s">
        <v>21</v>
      </c>
      <c r="BH7" s="112"/>
      <c r="BI7" s="112"/>
      <c r="BJ7" s="113" t="s">
        <v>22</v>
      </c>
      <c r="BK7" s="113"/>
      <c r="BL7" s="113"/>
      <c r="BM7" s="114" t="s">
        <v>70</v>
      </c>
      <c r="BN7" s="114"/>
      <c r="BO7" s="114"/>
      <c r="BP7" s="114" t="s">
        <v>93</v>
      </c>
      <c r="BQ7" s="114"/>
      <c r="BR7" s="114"/>
      <c r="BS7" s="114"/>
      <c r="BT7" s="41"/>
      <c r="BU7" s="38"/>
      <c r="BV7" s="35"/>
      <c r="BW7" s="35"/>
      <c r="BX7" s="108" t="s">
        <v>59</v>
      </c>
      <c r="BY7" s="108"/>
      <c r="BZ7" s="108"/>
      <c r="CA7" s="108"/>
      <c r="CB7" s="108"/>
      <c r="CC7" s="108"/>
      <c r="CD7" s="108"/>
      <c r="CE7" s="116">
        <f>VALUE('YF Summary A'!B2)</f>
        <v>135.13</v>
      </c>
      <c r="CF7" s="116"/>
      <c r="CG7" s="116"/>
      <c r="CH7" s="116"/>
      <c r="CI7" s="116"/>
      <c r="CJ7" s="116"/>
      <c r="CK7" s="116"/>
      <c r="CL7" s="35"/>
      <c r="CM7" s="35"/>
      <c r="CN7" s="35"/>
      <c r="CO7" s="108" t="s">
        <v>65</v>
      </c>
      <c r="CP7" s="108"/>
      <c r="CQ7" s="108"/>
      <c r="CR7" s="108"/>
      <c r="CS7" s="108"/>
      <c r="CT7" s="108"/>
      <c r="CU7" s="108"/>
      <c r="CV7" s="128">
        <f>VALUE('YF Summary A'!B8)</f>
        <v>60145130</v>
      </c>
      <c r="CW7" s="128"/>
      <c r="CX7" s="128"/>
      <c r="CY7" s="128"/>
      <c r="CZ7" s="128"/>
      <c r="DA7" s="128"/>
      <c r="DB7" s="128"/>
      <c r="DC7" s="35"/>
      <c r="DD7" s="35"/>
      <c r="DE7" s="39"/>
    </row>
    <row r="8" spans="2:109" x14ac:dyDescent="0.35">
      <c r="B8" s="34"/>
      <c r="C8" s="35"/>
      <c r="D8" s="108" t="s">
        <v>48</v>
      </c>
      <c r="E8" s="108"/>
      <c r="F8" s="108"/>
      <c r="G8" s="108"/>
      <c r="H8" s="108"/>
      <c r="I8" s="108"/>
      <c r="J8" s="108"/>
      <c r="K8" s="122">
        <v>135</v>
      </c>
      <c r="L8" s="122"/>
      <c r="M8" s="122"/>
      <c r="N8" s="122"/>
      <c r="O8" s="122"/>
      <c r="P8" s="122"/>
      <c r="Q8" s="122"/>
      <c r="R8" s="35"/>
      <c r="S8" s="35"/>
      <c r="T8" s="35"/>
      <c r="U8" s="108" t="s">
        <v>54</v>
      </c>
      <c r="V8" s="108"/>
      <c r="W8" s="108"/>
      <c r="X8" s="108"/>
      <c r="Y8" s="108"/>
      <c r="Z8" s="108"/>
      <c r="AA8" s="108"/>
      <c r="AB8" s="130">
        <f>IFERROR(VLOOKUP(AK2,T_Bills_3M[],5,FALSE),VLOOKUP(AK2,T_Bills_3M[],5,TRUE))/100</f>
        <v>4.4999999999999999E-4</v>
      </c>
      <c r="AC8" s="130"/>
      <c r="AD8" s="130"/>
      <c r="AE8" s="130"/>
      <c r="AF8" s="130"/>
      <c r="AG8" s="130"/>
      <c r="AH8" s="130"/>
      <c r="AI8" s="35"/>
      <c r="AJ8" s="35"/>
      <c r="AK8" s="36"/>
      <c r="AL8" s="37"/>
      <c r="AM8" s="35"/>
      <c r="AN8" s="110" t="str">
        <f>'YF Calls'!A2</f>
        <v>AAPL210219C00140000</v>
      </c>
      <c r="AO8" s="110"/>
      <c r="AP8" s="110"/>
      <c r="AQ8" s="110"/>
      <c r="AR8" s="110"/>
      <c r="AS8" s="110"/>
      <c r="AT8" s="110"/>
      <c r="AU8" s="110"/>
      <c r="AV8" s="110"/>
      <c r="AW8" s="110"/>
      <c r="AX8" s="110" t="str">
        <f>LEFT('YF Calls'!B2,LEN('YF Calls'!B2)-4)</f>
        <v>2021-02-12 3:59PM</v>
      </c>
      <c r="AY8" s="110"/>
      <c r="AZ8" s="110"/>
      <c r="BA8" s="110"/>
      <c r="BB8" s="110"/>
      <c r="BC8" s="110"/>
      <c r="BD8" s="110"/>
      <c r="BE8" s="110"/>
      <c r="BF8" s="110"/>
      <c r="BG8" s="111">
        <f>'YF Calls'!E2</f>
        <v>0.34</v>
      </c>
      <c r="BH8" s="111"/>
      <c r="BI8" s="111"/>
      <c r="BJ8" s="111">
        <f>'YF Calls'!F2</f>
        <v>0.37</v>
      </c>
      <c r="BK8" s="111"/>
      <c r="BL8" s="111"/>
      <c r="BM8" s="111">
        <f>'YF Calls'!D2</f>
        <v>0.36</v>
      </c>
      <c r="BN8" s="111"/>
      <c r="BO8" s="111"/>
      <c r="BP8" s="107" t="str">
        <f>'YF Calls'!I2</f>
        <v>46,897</v>
      </c>
      <c r="BQ8" s="107"/>
      <c r="BR8" s="107"/>
      <c r="BS8" s="107"/>
      <c r="BT8" s="49"/>
      <c r="BU8" s="38"/>
      <c r="BV8" s="35"/>
      <c r="BW8" s="35"/>
      <c r="BX8" s="108" t="s">
        <v>60</v>
      </c>
      <c r="BY8" s="108"/>
      <c r="BZ8" s="108"/>
      <c r="CA8" s="108"/>
      <c r="CB8" s="108"/>
      <c r="CC8" s="108"/>
      <c r="CD8" s="108"/>
      <c r="CE8" s="116">
        <f>VALUE('YF Summary A'!B3)</f>
        <v>134.35</v>
      </c>
      <c r="CF8" s="116"/>
      <c r="CG8" s="116"/>
      <c r="CH8" s="116"/>
      <c r="CI8" s="116"/>
      <c r="CJ8" s="116"/>
      <c r="CK8" s="116"/>
      <c r="CL8" s="35"/>
      <c r="CM8" s="35"/>
      <c r="CN8" s="35"/>
      <c r="CO8" s="108" t="s">
        <v>66</v>
      </c>
      <c r="CP8" s="108"/>
      <c r="CQ8" s="108"/>
      <c r="CR8" s="108"/>
      <c r="CS8" s="108"/>
      <c r="CT8" s="108"/>
      <c r="CU8" s="108"/>
      <c r="CV8" s="128">
        <f>VALUE('YF Summary A'!B9)</f>
        <v>102825663</v>
      </c>
      <c r="CW8" s="128"/>
      <c r="CX8" s="128"/>
      <c r="CY8" s="128"/>
      <c r="CZ8" s="128"/>
      <c r="DA8" s="128"/>
      <c r="DB8" s="128"/>
      <c r="DC8" s="35"/>
      <c r="DD8" s="35"/>
      <c r="DE8" s="39"/>
    </row>
    <row r="9" spans="2:109" x14ac:dyDescent="0.35">
      <c r="B9" s="34"/>
      <c r="C9" s="35"/>
      <c r="D9" s="108" t="s">
        <v>49</v>
      </c>
      <c r="E9" s="108"/>
      <c r="F9" s="108"/>
      <c r="G9" s="108"/>
      <c r="H9" s="108"/>
      <c r="I9" s="108"/>
      <c r="J9" s="108"/>
      <c r="K9" s="121">
        <v>44248</v>
      </c>
      <c r="L9" s="121"/>
      <c r="M9" s="121"/>
      <c r="N9" s="121"/>
      <c r="O9" s="121"/>
      <c r="P9" s="121"/>
      <c r="Q9" s="121"/>
      <c r="R9" s="35"/>
      <c r="S9" s="35"/>
      <c r="T9" s="35"/>
      <c r="U9" s="108" t="s">
        <v>55</v>
      </c>
      <c r="V9" s="108"/>
      <c r="W9" s="108"/>
      <c r="X9" s="108"/>
      <c r="Y9" s="108"/>
      <c r="Z9" s="108"/>
      <c r="AA9" s="108"/>
      <c r="AB9" s="109">
        <f>VLOOKUP(AK2,EWMA!A1:F200,6,FALSE)*SQRT(252)</f>
        <v>0.29439680896912196</v>
      </c>
      <c r="AC9" s="109"/>
      <c r="AD9" s="109"/>
      <c r="AE9" s="109"/>
      <c r="AF9" s="109"/>
      <c r="AG9" s="109"/>
      <c r="AH9" s="109"/>
      <c r="AI9" s="35"/>
      <c r="AJ9" s="35"/>
      <c r="AK9" s="36"/>
      <c r="AL9" s="37"/>
      <c r="AM9" s="35"/>
      <c r="AN9" s="110" t="str">
        <f>'YF Calls'!A3</f>
        <v>AAPL210219C00135000</v>
      </c>
      <c r="AO9" s="110"/>
      <c r="AP9" s="110"/>
      <c r="AQ9" s="110"/>
      <c r="AR9" s="110"/>
      <c r="AS9" s="110"/>
      <c r="AT9" s="110"/>
      <c r="AU9" s="110"/>
      <c r="AV9" s="110"/>
      <c r="AW9" s="110"/>
      <c r="AX9" s="110" t="str">
        <f>LEFT('YF Calls'!B3,LEN('YF Calls'!B3)-4)</f>
        <v>2021-02-12 3:59PM</v>
      </c>
      <c r="AY9" s="110"/>
      <c r="AZ9" s="110"/>
      <c r="BA9" s="110"/>
      <c r="BB9" s="110"/>
      <c r="BC9" s="110"/>
      <c r="BD9" s="110"/>
      <c r="BE9" s="110"/>
      <c r="BF9" s="110"/>
      <c r="BG9" s="111">
        <f>'YF Calls'!E3</f>
        <v>1.84</v>
      </c>
      <c r="BH9" s="111"/>
      <c r="BI9" s="111"/>
      <c r="BJ9" s="111">
        <f>'YF Calls'!F3</f>
        <v>1.85</v>
      </c>
      <c r="BK9" s="111"/>
      <c r="BL9" s="111"/>
      <c r="BM9" s="111">
        <f>'YF Calls'!D3</f>
        <v>1.84</v>
      </c>
      <c r="BN9" s="111"/>
      <c r="BO9" s="111"/>
      <c r="BP9" s="107" t="str">
        <f>'YF Calls'!I3</f>
        <v>48,689</v>
      </c>
      <c r="BQ9" s="107"/>
      <c r="BR9" s="107"/>
      <c r="BS9" s="107"/>
      <c r="BT9" s="49"/>
      <c r="BU9" s="38"/>
      <c r="BV9" s="35"/>
      <c r="BW9" s="35"/>
      <c r="BX9" s="108" t="s">
        <v>61</v>
      </c>
      <c r="BY9" s="108"/>
      <c r="BZ9" s="108"/>
      <c r="CA9" s="108"/>
      <c r="CB9" s="108"/>
      <c r="CC9" s="108"/>
      <c r="CD9" s="108"/>
      <c r="CE9" s="116" t="str">
        <f>'YF Summary A'!B4</f>
        <v>135.40 x 1000</v>
      </c>
      <c r="CF9" s="116"/>
      <c r="CG9" s="116"/>
      <c r="CH9" s="116"/>
      <c r="CI9" s="116"/>
      <c r="CJ9" s="116"/>
      <c r="CK9" s="116"/>
      <c r="CL9" s="35"/>
      <c r="CM9" s="35"/>
      <c r="CN9" s="35"/>
      <c r="CO9" s="108" t="s">
        <v>102</v>
      </c>
      <c r="CP9" s="108"/>
      <c r="CQ9" s="108"/>
      <c r="CR9" s="108"/>
      <c r="CS9" s="108"/>
      <c r="CT9" s="108"/>
      <c r="CU9" s="108"/>
      <c r="CV9" s="126" t="str">
        <f>'YF Summary B'!B3</f>
        <v>1.27</v>
      </c>
      <c r="CW9" s="126"/>
      <c r="CX9" s="126"/>
      <c r="CY9" s="126"/>
      <c r="CZ9" s="126"/>
      <c r="DA9" s="126"/>
      <c r="DB9" s="126"/>
      <c r="DC9" s="35"/>
      <c r="DD9" s="35"/>
      <c r="DE9" s="39"/>
    </row>
    <row r="10" spans="2:109" x14ac:dyDescent="0.35">
      <c r="B10" s="34"/>
      <c r="C10" s="35"/>
      <c r="D10" s="108" t="s">
        <v>50</v>
      </c>
      <c r="E10" s="108"/>
      <c r="F10" s="108"/>
      <c r="G10" s="108"/>
      <c r="H10" s="108"/>
      <c r="I10" s="108"/>
      <c r="J10" s="108"/>
      <c r="K10" s="120">
        <v>100</v>
      </c>
      <c r="L10" s="120"/>
      <c r="M10" s="120"/>
      <c r="N10" s="120"/>
      <c r="O10" s="120"/>
      <c r="P10" s="120"/>
      <c r="Q10" s="120"/>
      <c r="R10" s="35"/>
      <c r="S10" s="35"/>
      <c r="T10" s="35"/>
      <c r="U10" s="108" t="s">
        <v>99</v>
      </c>
      <c r="V10" s="108"/>
      <c r="W10" s="108"/>
      <c r="X10" s="108"/>
      <c r="Y10" s="108"/>
      <c r="Z10" s="108"/>
      <c r="AA10" s="108"/>
      <c r="AB10" s="109" cm="1">
        <f t="array" ref="AB10">IF(AB13=0,0,VALUE(simpleCellRegex('Trading Dashboard'!AB13,"%\)"))/100)</f>
        <v>6.0999999999999995E-3</v>
      </c>
      <c r="AC10" s="109"/>
      <c r="AD10" s="109"/>
      <c r="AE10" s="109"/>
      <c r="AF10" s="109"/>
      <c r="AG10" s="109"/>
      <c r="AH10" s="109"/>
      <c r="AI10" s="35"/>
      <c r="AJ10" s="35"/>
      <c r="AK10" s="36"/>
      <c r="AL10" s="37"/>
      <c r="AM10" s="35"/>
      <c r="AN10" s="110" t="str">
        <f>'YF Calls'!A4</f>
        <v>AAPL210219C00145000</v>
      </c>
      <c r="AO10" s="110"/>
      <c r="AP10" s="110"/>
      <c r="AQ10" s="110"/>
      <c r="AR10" s="110"/>
      <c r="AS10" s="110"/>
      <c r="AT10" s="110"/>
      <c r="AU10" s="110"/>
      <c r="AV10" s="110"/>
      <c r="AW10" s="110"/>
      <c r="AX10" s="110" t="str">
        <f>LEFT('YF Calls'!B4,LEN('YF Calls'!B4)-4)</f>
        <v>2021-02-12 3:59PM</v>
      </c>
      <c r="AY10" s="110"/>
      <c r="AZ10" s="110"/>
      <c r="BA10" s="110"/>
      <c r="BB10" s="110"/>
      <c r="BC10" s="110"/>
      <c r="BD10" s="110"/>
      <c r="BE10" s="110"/>
      <c r="BF10" s="110"/>
      <c r="BG10" s="111">
        <f>'YF Calls'!E4</f>
        <v>0.1</v>
      </c>
      <c r="BH10" s="111"/>
      <c r="BI10" s="111"/>
      <c r="BJ10" s="111">
        <f>'YF Calls'!F4</f>
        <v>0.11</v>
      </c>
      <c r="BK10" s="111"/>
      <c r="BL10" s="111"/>
      <c r="BM10" s="111">
        <f>'YF Calls'!D4</f>
        <v>0.11</v>
      </c>
      <c r="BN10" s="111"/>
      <c r="BO10" s="111"/>
      <c r="BP10" s="107" t="str">
        <f>'YF Calls'!I4</f>
        <v>13,674</v>
      </c>
      <c r="BQ10" s="107"/>
      <c r="BR10" s="107"/>
      <c r="BS10" s="107"/>
      <c r="BT10" s="49"/>
      <c r="BU10" s="38"/>
      <c r="BV10" s="35"/>
      <c r="BW10" s="35"/>
      <c r="BX10" s="108" t="s">
        <v>62</v>
      </c>
      <c r="BY10" s="108"/>
      <c r="BZ10" s="108"/>
      <c r="CA10" s="108"/>
      <c r="CB10" s="108"/>
      <c r="CC10" s="108"/>
      <c r="CD10" s="108"/>
      <c r="CE10" s="116" t="str">
        <f>'YF Summary A'!B5</f>
        <v>135.47 x 1300</v>
      </c>
      <c r="CF10" s="116"/>
      <c r="CG10" s="116"/>
      <c r="CH10" s="116"/>
      <c r="CI10" s="116"/>
      <c r="CJ10" s="116"/>
      <c r="CK10" s="116"/>
      <c r="CL10" s="35"/>
      <c r="CM10" s="35"/>
      <c r="CN10" s="35"/>
      <c r="CO10" s="108" t="s">
        <v>100</v>
      </c>
      <c r="CP10" s="108"/>
      <c r="CQ10" s="108"/>
      <c r="CR10" s="108"/>
      <c r="CS10" s="108"/>
      <c r="CT10" s="108"/>
      <c r="CU10" s="108"/>
      <c r="CV10" s="126" t="str">
        <f>'YF Summary B'!B4</f>
        <v>36.72</v>
      </c>
      <c r="CW10" s="126"/>
      <c r="CX10" s="126"/>
      <c r="CY10" s="126"/>
      <c r="CZ10" s="126"/>
      <c r="DA10" s="126"/>
      <c r="DB10" s="126"/>
      <c r="DC10" s="35"/>
      <c r="DD10" s="35"/>
      <c r="DE10" s="39"/>
    </row>
    <row r="11" spans="2:109" x14ac:dyDescent="0.35">
      <c r="B11" s="34"/>
      <c r="C11" s="35"/>
      <c r="D11" s="40"/>
      <c r="E11" s="40"/>
      <c r="F11" s="40"/>
      <c r="G11" s="40"/>
      <c r="H11" s="40"/>
      <c r="I11" s="40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108" t="s">
        <v>56</v>
      </c>
      <c r="V11" s="108"/>
      <c r="W11" s="108"/>
      <c r="X11" s="108"/>
      <c r="Y11" s="108"/>
      <c r="Z11" s="108"/>
      <c r="AA11" s="108"/>
      <c r="AB11" s="129" t="s">
        <v>58</v>
      </c>
      <c r="AC11" s="129"/>
      <c r="AD11" s="129"/>
      <c r="AE11" s="129"/>
      <c r="AF11" s="129"/>
      <c r="AG11" s="129"/>
      <c r="AH11" s="129"/>
      <c r="AI11" s="35"/>
      <c r="AJ11" s="35"/>
      <c r="AK11" s="36"/>
      <c r="AL11" s="37"/>
      <c r="AM11" s="35"/>
      <c r="AN11" s="110" t="str">
        <f>'YF Calls'!A5</f>
        <v>AAPL210219C00130000</v>
      </c>
      <c r="AO11" s="110"/>
      <c r="AP11" s="110"/>
      <c r="AQ11" s="110"/>
      <c r="AR11" s="110"/>
      <c r="AS11" s="110"/>
      <c r="AT11" s="110"/>
      <c r="AU11" s="110"/>
      <c r="AV11" s="110"/>
      <c r="AW11" s="110"/>
      <c r="AX11" s="110" t="str">
        <f>LEFT('YF Calls'!B5,LEN('YF Calls'!B5)-4)</f>
        <v>2021-02-12 3:59PM</v>
      </c>
      <c r="AY11" s="110"/>
      <c r="AZ11" s="110"/>
      <c r="BA11" s="110"/>
      <c r="BB11" s="110"/>
      <c r="BC11" s="110"/>
      <c r="BD11" s="110"/>
      <c r="BE11" s="110"/>
      <c r="BF11" s="110"/>
      <c r="BG11" s="111">
        <f>'YF Calls'!E5</f>
        <v>5.6</v>
      </c>
      <c r="BH11" s="111"/>
      <c r="BI11" s="111"/>
      <c r="BJ11" s="111">
        <f>'YF Calls'!F5</f>
        <v>5.8</v>
      </c>
      <c r="BK11" s="111"/>
      <c r="BL11" s="111"/>
      <c r="BM11" s="111">
        <f>'YF Calls'!D5</f>
        <v>5.79</v>
      </c>
      <c r="BN11" s="111"/>
      <c r="BO11" s="111"/>
      <c r="BP11" s="107" t="str">
        <f>'YF Calls'!I5</f>
        <v>7,679</v>
      </c>
      <c r="BQ11" s="107"/>
      <c r="BR11" s="107"/>
      <c r="BS11" s="107"/>
      <c r="BT11" s="49"/>
      <c r="BU11" s="38"/>
      <c r="BV11" s="35"/>
      <c r="BW11" s="35"/>
      <c r="BX11" s="108" t="s">
        <v>63</v>
      </c>
      <c r="BY11" s="108"/>
      <c r="BZ11" s="108"/>
      <c r="CA11" s="108"/>
      <c r="CB11" s="108"/>
      <c r="CC11" s="108"/>
      <c r="CD11" s="108"/>
      <c r="CE11" s="116" t="str">
        <f>'YF Summary A'!B6</f>
        <v>133.69 - 135.51</v>
      </c>
      <c r="CF11" s="116"/>
      <c r="CG11" s="116"/>
      <c r="CH11" s="116"/>
      <c r="CI11" s="116"/>
      <c r="CJ11" s="116"/>
      <c r="CK11" s="116"/>
      <c r="CL11" s="35"/>
      <c r="CM11" s="35"/>
      <c r="CN11" s="35"/>
      <c r="CO11" s="108" t="s">
        <v>101</v>
      </c>
      <c r="CP11" s="108"/>
      <c r="CQ11" s="108"/>
      <c r="CR11" s="108"/>
      <c r="CS11" s="108"/>
      <c r="CT11" s="108"/>
      <c r="CU11" s="108"/>
      <c r="CV11" s="126" t="str">
        <f>'YF Summary B'!B5</f>
        <v>3.69</v>
      </c>
      <c r="CW11" s="126"/>
      <c r="CX11" s="126"/>
      <c r="CY11" s="126"/>
      <c r="CZ11" s="126"/>
      <c r="DA11" s="126"/>
      <c r="DB11" s="126"/>
      <c r="DC11" s="35"/>
      <c r="DD11" s="35"/>
      <c r="DE11" s="39"/>
    </row>
    <row r="12" spans="2:109" x14ac:dyDescent="0.35">
      <c r="B12" s="34"/>
      <c r="C12" s="35"/>
      <c r="D12" s="108" t="s">
        <v>46</v>
      </c>
      <c r="E12" s="108"/>
      <c r="F12" s="108"/>
      <c r="G12" s="108"/>
      <c r="H12" s="108"/>
      <c r="I12" s="108"/>
      <c r="J12" s="108"/>
      <c r="K12" s="119">
        <v>2.8</v>
      </c>
      <c r="L12" s="119"/>
      <c r="M12" s="119"/>
      <c r="N12" s="119"/>
      <c r="O12" s="119"/>
      <c r="P12" s="119"/>
      <c r="Q12" s="119"/>
      <c r="R12" s="35"/>
      <c r="S12" s="35"/>
      <c r="T12" s="35"/>
      <c r="U12" s="108" t="s">
        <v>52</v>
      </c>
      <c r="V12" s="108"/>
      <c r="W12" s="108"/>
      <c r="X12" s="108"/>
      <c r="Y12" s="108"/>
      <c r="Z12" s="108"/>
      <c r="AA12" s="108"/>
      <c r="AB12" s="117" cm="1">
        <f t="array" ref="AB12">OptionPrice(K7,AB7,K8,AB8,AB10,AB9,K9,AB11)</f>
        <v>2.7629366682549898</v>
      </c>
      <c r="AC12" s="117"/>
      <c r="AD12" s="117"/>
      <c r="AE12" s="117"/>
      <c r="AF12" s="117"/>
      <c r="AG12" s="117"/>
      <c r="AH12" s="117"/>
      <c r="AI12" s="35"/>
      <c r="AJ12" s="35"/>
      <c r="AK12" s="36"/>
      <c r="AL12" s="37"/>
      <c r="AM12" s="35"/>
      <c r="AN12" s="110" t="str">
        <f>'YF Calls'!A6</f>
        <v>AAPL210219C00150000</v>
      </c>
      <c r="AO12" s="110"/>
      <c r="AP12" s="110"/>
      <c r="AQ12" s="110"/>
      <c r="AR12" s="110"/>
      <c r="AS12" s="110"/>
      <c r="AT12" s="110"/>
      <c r="AU12" s="110"/>
      <c r="AV12" s="110"/>
      <c r="AW12" s="110"/>
      <c r="AX12" s="110" t="str">
        <f>LEFT('YF Calls'!B6,LEN('YF Calls'!B6)-4)</f>
        <v>2021-02-12 3:58PM</v>
      </c>
      <c r="AY12" s="110"/>
      <c r="AZ12" s="110"/>
      <c r="BA12" s="110"/>
      <c r="BB12" s="110"/>
      <c r="BC12" s="110"/>
      <c r="BD12" s="110"/>
      <c r="BE12" s="110"/>
      <c r="BF12" s="110"/>
      <c r="BG12" s="111">
        <f>'YF Calls'!E6</f>
        <v>0.05</v>
      </c>
      <c r="BH12" s="111"/>
      <c r="BI12" s="111"/>
      <c r="BJ12" s="111">
        <f>'YF Calls'!F6</f>
        <v>0.06</v>
      </c>
      <c r="BK12" s="111"/>
      <c r="BL12" s="111"/>
      <c r="BM12" s="111">
        <f>'YF Calls'!D6</f>
        <v>0.06</v>
      </c>
      <c r="BN12" s="111"/>
      <c r="BO12" s="111"/>
      <c r="BP12" s="107" t="str">
        <f>'YF Calls'!I6</f>
        <v>9,839</v>
      </c>
      <c r="BQ12" s="107"/>
      <c r="BR12" s="107"/>
      <c r="BS12" s="107"/>
      <c r="BT12" s="49"/>
      <c r="BU12" s="38"/>
      <c r="BV12" s="35"/>
      <c r="BW12" s="35"/>
      <c r="BX12" s="108" t="s">
        <v>64</v>
      </c>
      <c r="BY12" s="108"/>
      <c r="BZ12" s="108"/>
      <c r="CA12" s="108"/>
      <c r="CB12" s="108"/>
      <c r="CC12" s="108"/>
      <c r="CD12" s="108"/>
      <c r="CE12" s="124" t="str">
        <f>'YF Summary B'!B2</f>
        <v>2.273T</v>
      </c>
      <c r="CF12" s="124"/>
      <c r="CG12" s="124"/>
      <c r="CH12" s="124"/>
      <c r="CI12" s="124"/>
      <c r="CJ12" s="124"/>
      <c r="CK12" s="124"/>
      <c r="CL12" s="35"/>
      <c r="CM12" s="35"/>
      <c r="CN12" s="35"/>
      <c r="CO12" s="108" t="s">
        <v>67</v>
      </c>
      <c r="CP12" s="108"/>
      <c r="CQ12" s="108"/>
      <c r="CR12" s="108"/>
      <c r="CS12" s="108"/>
      <c r="CT12" s="108"/>
      <c r="CU12" s="108"/>
      <c r="CV12" s="127" t="str">
        <f>'YF Summary B'!B8</f>
        <v>Feb 05, 2021</v>
      </c>
      <c r="CW12" s="127"/>
      <c r="CX12" s="127"/>
      <c r="CY12" s="127"/>
      <c r="CZ12" s="127"/>
      <c r="DA12" s="127"/>
      <c r="DB12" s="127"/>
      <c r="DC12" s="35"/>
      <c r="DD12" s="35"/>
      <c r="DE12" s="39"/>
    </row>
    <row r="13" spans="2:109" x14ac:dyDescent="0.35"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58" t="str">
        <f>IFERROR(VLOOKUP("Forward Dividend &amp; Yield",YF_Summary_B[#All],2,FALSE),0)</f>
        <v>0.82 (0.61%)</v>
      </c>
      <c r="AB13" s="58" t="str" cm="1">
        <f t="array" ref="AB13">IF(AA13=0,0,simpleCellRegex(AA13,"^(\d*)\.(\d*)\s\("))</f>
        <v>0.61%)</v>
      </c>
      <c r="AC13" s="35"/>
      <c r="AD13" s="35"/>
      <c r="AE13" s="35"/>
      <c r="AF13" s="35"/>
      <c r="AG13" s="35"/>
      <c r="AH13" s="35"/>
      <c r="AI13" s="35"/>
      <c r="AJ13" s="35"/>
      <c r="AK13" s="36"/>
      <c r="AL13" s="37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8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9"/>
    </row>
    <row r="14" spans="2:109" x14ac:dyDescent="0.35">
      <c r="B14" s="34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6"/>
      <c r="AL14" s="37"/>
      <c r="AM14" s="35"/>
      <c r="AN14" s="82" t="s">
        <v>91</v>
      </c>
      <c r="AO14" s="82"/>
      <c r="AP14" s="82"/>
      <c r="AQ14" s="82"/>
      <c r="AR14" s="82"/>
      <c r="AS14" s="82"/>
      <c r="AT14" s="82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112" t="s">
        <v>21</v>
      </c>
      <c r="BH14" s="112"/>
      <c r="BI14" s="112"/>
      <c r="BJ14" s="113" t="s">
        <v>22</v>
      </c>
      <c r="BK14" s="113"/>
      <c r="BL14" s="113"/>
      <c r="BM14" s="114" t="s">
        <v>70</v>
      </c>
      <c r="BN14" s="114"/>
      <c r="BO14" s="114"/>
      <c r="BP14" s="114" t="s">
        <v>93</v>
      </c>
      <c r="BQ14" s="114"/>
      <c r="BR14" s="114"/>
      <c r="BS14" s="114"/>
      <c r="BT14" s="35"/>
      <c r="BU14" s="38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9"/>
    </row>
    <row r="15" spans="2:109" x14ac:dyDescent="0.35"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6"/>
      <c r="AL15" s="37"/>
      <c r="AM15" s="35"/>
      <c r="AN15" s="110" t="str">
        <f>'YF Puts'!A2</f>
        <v>AAPL210219P00130000</v>
      </c>
      <c r="AO15" s="110"/>
      <c r="AP15" s="110"/>
      <c r="AQ15" s="110"/>
      <c r="AR15" s="110"/>
      <c r="AS15" s="110"/>
      <c r="AT15" s="110"/>
      <c r="AU15" s="110"/>
      <c r="AV15" s="110"/>
      <c r="AW15" s="110"/>
      <c r="AX15" s="110" t="str">
        <f>LEFT('YF Puts'!B2,LEN('YF Puts'!B2)-4)</f>
        <v>2021-02-12 3:59PM</v>
      </c>
      <c r="AY15" s="110"/>
      <c r="AZ15" s="110"/>
      <c r="BA15" s="110"/>
      <c r="BB15" s="110"/>
      <c r="BC15" s="110"/>
      <c r="BD15" s="110"/>
      <c r="BE15" s="110"/>
      <c r="BF15" s="110"/>
      <c r="BG15" s="111">
        <f>'YF Puts'!E2</f>
        <v>0.31</v>
      </c>
      <c r="BH15" s="111"/>
      <c r="BI15" s="111"/>
      <c r="BJ15" s="111">
        <f>'YF Puts'!F2</f>
        <v>0.33</v>
      </c>
      <c r="BK15" s="111"/>
      <c r="BL15" s="111"/>
      <c r="BM15" s="111">
        <f>'YF Puts'!D2</f>
        <v>0.31</v>
      </c>
      <c r="BN15" s="111"/>
      <c r="BO15" s="111"/>
      <c r="BP15" s="107" t="str">
        <f>'YF Puts'!I2</f>
        <v>11,547</v>
      </c>
      <c r="BQ15" s="107"/>
      <c r="BR15" s="107"/>
      <c r="BS15" s="107"/>
      <c r="BT15" s="35"/>
      <c r="BU15" s="38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9"/>
    </row>
    <row r="16" spans="2:109" x14ac:dyDescent="0.35">
      <c r="B16" s="34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6"/>
      <c r="AL16" s="37"/>
      <c r="AM16" s="35"/>
      <c r="AN16" s="110" t="str">
        <f>'YF Puts'!A3</f>
        <v>AAPL210219P00120000</v>
      </c>
      <c r="AO16" s="110"/>
      <c r="AP16" s="110"/>
      <c r="AQ16" s="110"/>
      <c r="AR16" s="110"/>
      <c r="AS16" s="110"/>
      <c r="AT16" s="110"/>
      <c r="AU16" s="110"/>
      <c r="AV16" s="110"/>
      <c r="AW16" s="110"/>
      <c r="AX16" s="110" t="str">
        <f>LEFT('YF Puts'!B3,LEN('YF Puts'!B3)-4)</f>
        <v>2021-02-12 3:58PM</v>
      </c>
      <c r="AY16" s="110"/>
      <c r="AZ16" s="110"/>
      <c r="BA16" s="110"/>
      <c r="BB16" s="110"/>
      <c r="BC16" s="110"/>
      <c r="BD16" s="110"/>
      <c r="BE16" s="110"/>
      <c r="BF16" s="110"/>
      <c r="BG16" s="111">
        <f>'YF Puts'!E3</f>
        <v>0.08</v>
      </c>
      <c r="BH16" s="111"/>
      <c r="BI16" s="111"/>
      <c r="BJ16" s="111">
        <f>'YF Puts'!F3</f>
        <v>0.09</v>
      </c>
      <c r="BK16" s="111"/>
      <c r="BL16" s="111"/>
      <c r="BM16" s="111">
        <f>'YF Puts'!D3</f>
        <v>0.09</v>
      </c>
      <c r="BN16" s="111"/>
      <c r="BO16" s="111"/>
      <c r="BP16" s="107" t="str">
        <f>'YF Puts'!I3</f>
        <v>1,263</v>
      </c>
      <c r="BQ16" s="107"/>
      <c r="BR16" s="107"/>
      <c r="BS16" s="107"/>
      <c r="BT16" s="35"/>
      <c r="BU16" s="38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9"/>
    </row>
    <row r="17" spans="2:113" x14ac:dyDescent="0.35">
      <c r="B17" s="34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6"/>
      <c r="AL17" s="37"/>
      <c r="AM17" s="35"/>
      <c r="AN17" s="110" t="str">
        <f>'YF Puts'!A4</f>
        <v>AAPL210219P00135000</v>
      </c>
      <c r="AO17" s="110"/>
      <c r="AP17" s="110"/>
      <c r="AQ17" s="110"/>
      <c r="AR17" s="110"/>
      <c r="AS17" s="110"/>
      <c r="AT17" s="110"/>
      <c r="AU17" s="110"/>
      <c r="AV17" s="110"/>
      <c r="AW17" s="110"/>
      <c r="AX17" s="110" t="str">
        <f>LEFT('YF Puts'!B4,LEN('YF Puts'!B4)-4)</f>
        <v>2021-02-12 3:59PM</v>
      </c>
      <c r="AY17" s="110"/>
      <c r="AZ17" s="110"/>
      <c r="BA17" s="110"/>
      <c r="BB17" s="110"/>
      <c r="BC17" s="110"/>
      <c r="BD17" s="110"/>
      <c r="BE17" s="110"/>
      <c r="BF17" s="110"/>
      <c r="BG17" s="111">
        <f>'YF Puts'!E4</f>
        <v>1.4</v>
      </c>
      <c r="BH17" s="111"/>
      <c r="BI17" s="111"/>
      <c r="BJ17" s="111">
        <f>'YF Puts'!F4</f>
        <v>1.46</v>
      </c>
      <c r="BK17" s="111"/>
      <c r="BL17" s="111"/>
      <c r="BM17" s="111">
        <f>'YF Puts'!D4</f>
        <v>1.41</v>
      </c>
      <c r="BN17" s="111"/>
      <c r="BO17" s="111"/>
      <c r="BP17" s="107" t="str">
        <f>'YF Puts'!I4</f>
        <v>13,820</v>
      </c>
      <c r="BQ17" s="107"/>
      <c r="BR17" s="107"/>
      <c r="BS17" s="107"/>
      <c r="BT17" s="35"/>
      <c r="BU17" s="38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9"/>
    </row>
    <row r="18" spans="2:113" x14ac:dyDescent="0.35">
      <c r="B18" s="34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6"/>
      <c r="AL18" s="37"/>
      <c r="AM18" s="35"/>
      <c r="AN18" s="110" t="str">
        <f>'YF Puts'!A5</f>
        <v>AAPL210219P00115000</v>
      </c>
      <c r="AO18" s="110"/>
      <c r="AP18" s="110"/>
      <c r="AQ18" s="110"/>
      <c r="AR18" s="110"/>
      <c r="AS18" s="110"/>
      <c r="AT18" s="110"/>
      <c r="AU18" s="110"/>
      <c r="AV18" s="110"/>
      <c r="AW18" s="110"/>
      <c r="AX18" s="110" t="str">
        <f>LEFT('YF Puts'!B5,LEN('YF Puts'!B5)-4)</f>
        <v>2021-02-12 3:52PM</v>
      </c>
      <c r="AY18" s="110"/>
      <c r="AZ18" s="110"/>
      <c r="BA18" s="110"/>
      <c r="BB18" s="110"/>
      <c r="BC18" s="110"/>
      <c r="BD18" s="110"/>
      <c r="BE18" s="110"/>
      <c r="BF18" s="110"/>
      <c r="BG18" s="111">
        <f>'YF Puts'!E5</f>
        <v>0.06</v>
      </c>
      <c r="BH18" s="111"/>
      <c r="BI18" s="111"/>
      <c r="BJ18" s="111">
        <f>'YF Puts'!F5</f>
        <v>7.0000000000000007E-2</v>
      </c>
      <c r="BK18" s="111"/>
      <c r="BL18" s="111"/>
      <c r="BM18" s="111">
        <f>'YF Puts'!D5</f>
        <v>7.0000000000000007E-2</v>
      </c>
      <c r="BN18" s="111"/>
      <c r="BO18" s="111"/>
      <c r="BP18" s="107" t="str">
        <f>'YF Puts'!I5</f>
        <v>655</v>
      </c>
      <c r="BQ18" s="107"/>
      <c r="BR18" s="107"/>
      <c r="BS18" s="107"/>
      <c r="BT18" s="35"/>
      <c r="BU18" s="38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9"/>
    </row>
    <row r="19" spans="2:113" x14ac:dyDescent="0.35">
      <c r="B19" s="34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6"/>
      <c r="AL19" s="37"/>
      <c r="AM19" s="35"/>
      <c r="AN19" s="110" t="str">
        <f>'YF Puts'!A6</f>
        <v>AAPL210219P00110000</v>
      </c>
      <c r="AO19" s="110"/>
      <c r="AP19" s="110"/>
      <c r="AQ19" s="110"/>
      <c r="AR19" s="110"/>
      <c r="AS19" s="110"/>
      <c r="AT19" s="110"/>
      <c r="AU19" s="110"/>
      <c r="AV19" s="110"/>
      <c r="AW19" s="110"/>
      <c r="AX19" s="110" t="str">
        <f>LEFT('YF Puts'!B6,LEN('YF Puts'!B6)-4)</f>
        <v>2021-02-12 3:32PM</v>
      </c>
      <c r="AY19" s="110"/>
      <c r="AZ19" s="110"/>
      <c r="BA19" s="110"/>
      <c r="BB19" s="110"/>
      <c r="BC19" s="110"/>
      <c r="BD19" s="110"/>
      <c r="BE19" s="110"/>
      <c r="BF19" s="110"/>
      <c r="BG19" s="111">
        <f>'YF Puts'!E6</f>
        <v>0.03</v>
      </c>
      <c r="BH19" s="111"/>
      <c r="BI19" s="111"/>
      <c r="BJ19" s="111">
        <f>'YF Puts'!F6</f>
        <v>0.04</v>
      </c>
      <c r="BK19" s="111"/>
      <c r="BL19" s="111"/>
      <c r="BM19" s="111">
        <f>'YF Puts'!D6</f>
        <v>0.05</v>
      </c>
      <c r="BN19" s="111"/>
      <c r="BO19" s="111"/>
      <c r="BP19" s="107" t="str">
        <f>'YF Puts'!I6</f>
        <v>3,694</v>
      </c>
      <c r="BQ19" s="107"/>
      <c r="BR19" s="107"/>
      <c r="BS19" s="107"/>
      <c r="BT19" s="35"/>
      <c r="BU19" s="38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9"/>
    </row>
    <row r="20" spans="2:113" x14ac:dyDescent="0.35">
      <c r="B20" s="34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6"/>
      <c r="AL20" s="37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8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9"/>
    </row>
    <row r="21" spans="2:113" x14ac:dyDescent="0.35">
      <c r="B21" s="34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6"/>
      <c r="AL21" s="37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8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9"/>
    </row>
    <row r="22" spans="2:113" x14ac:dyDescent="0.35">
      <c r="B22" s="34"/>
      <c r="C22" s="41"/>
      <c r="D22" s="41"/>
      <c r="E22" s="41"/>
      <c r="F22" s="41"/>
      <c r="G22" s="41"/>
      <c r="H22" s="41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6"/>
      <c r="AL22" s="37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8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9"/>
    </row>
    <row r="23" spans="2:113" ht="15.6" thickBot="1" x14ac:dyDescent="0.4">
      <c r="B23" s="42"/>
      <c r="C23" s="43"/>
      <c r="D23" s="43"/>
      <c r="E23" s="43"/>
      <c r="F23" s="43"/>
      <c r="G23" s="43"/>
      <c r="H23" s="43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5"/>
      <c r="AL23" s="46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7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  <c r="DA23" s="44"/>
      <c r="DB23" s="44"/>
      <c r="DC23" s="44"/>
      <c r="DD23" s="44"/>
      <c r="DE23" s="48"/>
    </row>
    <row r="24" spans="2:113" x14ac:dyDescent="0.35">
      <c r="B24" s="50"/>
      <c r="C24" s="51"/>
      <c r="D24" s="51"/>
      <c r="E24" s="51"/>
      <c r="F24" s="51"/>
      <c r="G24" s="51"/>
      <c r="H24" s="51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6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3"/>
    </row>
    <row r="25" spans="2:113" x14ac:dyDescent="0.35">
      <c r="B25" s="34"/>
      <c r="C25" s="41"/>
      <c r="D25" s="79" t="s">
        <v>112</v>
      </c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35"/>
      <c r="BU25" s="38"/>
      <c r="BV25" s="35"/>
      <c r="BW25" s="35"/>
      <c r="BX25" s="79" t="s">
        <v>117</v>
      </c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79"/>
      <c r="CK25" s="79"/>
      <c r="CL25" s="79"/>
      <c r="CM25" s="79"/>
      <c r="CN25" s="79"/>
      <c r="CO25" s="79"/>
      <c r="CP25" s="79"/>
      <c r="CQ25" s="79"/>
      <c r="CR25" s="79"/>
      <c r="CS25" s="79"/>
      <c r="CT25" s="79"/>
      <c r="CU25" s="79"/>
      <c r="CV25" s="79"/>
      <c r="CW25" s="79"/>
      <c r="CX25" s="79"/>
      <c r="CY25" s="79"/>
      <c r="CZ25" s="79"/>
      <c r="DA25" s="79"/>
      <c r="DB25" s="79"/>
      <c r="DC25" s="79"/>
      <c r="DD25" s="35"/>
      <c r="DE25" s="39"/>
    </row>
    <row r="26" spans="2:113" x14ac:dyDescent="0.35">
      <c r="B26" s="54"/>
      <c r="C26" s="41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41"/>
      <c r="BU26" s="57"/>
      <c r="BV26" s="41"/>
      <c r="BW26" s="41"/>
      <c r="BX26" s="79"/>
      <c r="BY26" s="79"/>
      <c r="BZ26" s="79"/>
      <c r="CA26" s="79"/>
      <c r="CB26" s="79"/>
      <c r="CC26" s="79"/>
      <c r="CD26" s="79"/>
      <c r="CE26" s="79"/>
      <c r="CF26" s="79"/>
      <c r="CG26" s="79"/>
      <c r="CH26" s="79"/>
      <c r="CI26" s="79"/>
      <c r="CJ26" s="79"/>
      <c r="CK26" s="79"/>
      <c r="CL26" s="79"/>
      <c r="CM26" s="79"/>
      <c r="CN26" s="79"/>
      <c r="CO26" s="79"/>
      <c r="CP26" s="79"/>
      <c r="CQ26" s="79"/>
      <c r="CR26" s="79"/>
      <c r="CS26" s="79"/>
      <c r="CT26" s="79"/>
      <c r="CU26" s="79"/>
      <c r="CV26" s="79"/>
      <c r="CW26" s="79"/>
      <c r="CX26" s="79"/>
      <c r="CY26" s="79"/>
      <c r="CZ26" s="79"/>
      <c r="DA26" s="79"/>
      <c r="DB26" s="79"/>
      <c r="DC26" s="79"/>
      <c r="DD26" s="41"/>
      <c r="DE26" s="55"/>
      <c r="DF26" s="9"/>
      <c r="DG26" s="9">
        <v>110</v>
      </c>
      <c r="DH26" s="9">
        <v>111</v>
      </c>
      <c r="DI26" s="9">
        <v>112</v>
      </c>
    </row>
    <row r="27" spans="2:113" ht="15.6" thickBot="1" x14ac:dyDescent="0.4">
      <c r="B27" s="34"/>
      <c r="C27" s="35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35"/>
      <c r="BU27" s="38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9"/>
    </row>
    <row r="28" spans="2:113" x14ac:dyDescent="0.35">
      <c r="B28" s="34"/>
      <c r="C28" s="35"/>
      <c r="D28" s="70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2"/>
      <c r="T28" s="35"/>
      <c r="U28" s="35"/>
      <c r="V28" s="35"/>
      <c r="W28" s="100" t="s">
        <v>109</v>
      </c>
      <c r="X28" s="100"/>
      <c r="Y28" s="100"/>
      <c r="Z28" s="100"/>
      <c r="AA28" s="100"/>
      <c r="AB28" s="100"/>
      <c r="AC28" s="100"/>
      <c r="AD28" s="100"/>
      <c r="AE28" s="100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  <c r="BI28" s="100"/>
      <c r="BJ28" s="100"/>
      <c r="BK28" s="100"/>
      <c r="BL28" s="100"/>
      <c r="BM28" s="100"/>
      <c r="BN28" s="100"/>
      <c r="BO28" s="100"/>
      <c r="BP28" s="100"/>
      <c r="BQ28" s="100"/>
      <c r="BR28" s="100"/>
      <c r="BS28" s="100"/>
      <c r="BT28" s="35"/>
      <c r="BU28" s="38"/>
      <c r="BV28" s="35"/>
      <c r="BW28" s="35"/>
      <c r="BX28" s="82" t="s">
        <v>90</v>
      </c>
      <c r="BY28" s="82"/>
      <c r="BZ28" s="82"/>
      <c r="CA28" s="82"/>
      <c r="CB28" s="82"/>
      <c r="CC28" s="82"/>
      <c r="CD28" s="82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9"/>
    </row>
    <row r="29" spans="2:113" x14ac:dyDescent="0.35">
      <c r="B29" s="34"/>
      <c r="C29" s="35"/>
      <c r="D29" s="73"/>
      <c r="E29" s="91" t="s">
        <v>112</v>
      </c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74"/>
      <c r="T29" s="35"/>
      <c r="U29" s="35"/>
      <c r="V29" s="35"/>
      <c r="W29" s="95" t="s">
        <v>110</v>
      </c>
      <c r="X29" s="95"/>
      <c r="Y29" s="95"/>
      <c r="Z29" s="95"/>
      <c r="AA29" s="95"/>
      <c r="AB29" s="95"/>
      <c r="AC29" s="95"/>
      <c r="AD29" s="101" t="s">
        <v>111</v>
      </c>
      <c r="AE29" s="101"/>
      <c r="AF29" s="101"/>
      <c r="AG29" s="101"/>
      <c r="AH29" s="101"/>
      <c r="AI29" s="101"/>
      <c r="AJ29" s="101"/>
      <c r="AK29" s="101"/>
      <c r="AL29" s="101"/>
      <c r="AM29" s="101"/>
      <c r="AN29" s="101"/>
      <c r="AO29" s="101"/>
      <c r="AP29" s="101"/>
      <c r="AQ29" s="101"/>
      <c r="AR29" s="101"/>
      <c r="AS29" s="101"/>
      <c r="AT29" s="101"/>
      <c r="AU29" s="101"/>
      <c r="AV29" s="101"/>
      <c r="AW29" s="101"/>
      <c r="AX29" s="101"/>
      <c r="AY29" s="101"/>
      <c r="AZ29" s="101"/>
      <c r="BA29" s="101"/>
      <c r="BB29" s="101"/>
      <c r="BC29" s="101"/>
      <c r="BD29" s="101"/>
      <c r="BE29" s="101"/>
      <c r="BF29" s="101"/>
      <c r="BG29" s="101"/>
      <c r="BH29" s="101"/>
      <c r="BI29" s="101"/>
      <c r="BJ29" s="101"/>
      <c r="BK29" s="101"/>
      <c r="BL29" s="101"/>
      <c r="BM29" s="101"/>
      <c r="BN29" s="101"/>
      <c r="BO29" s="101"/>
      <c r="BP29" s="101"/>
      <c r="BQ29" s="101"/>
      <c r="BR29" s="101"/>
      <c r="BS29" s="101"/>
      <c r="BT29" s="35"/>
      <c r="BU29" s="38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9"/>
    </row>
    <row r="30" spans="2:113" ht="15.6" thickBot="1" x14ac:dyDescent="0.4">
      <c r="B30" s="34"/>
      <c r="C30" s="35"/>
      <c r="D30" s="73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4"/>
      <c r="T30" s="35"/>
      <c r="U30" s="35"/>
      <c r="V30" s="35"/>
      <c r="W30" s="80"/>
      <c r="X30" s="81"/>
      <c r="Y30" s="81"/>
      <c r="Z30" s="81"/>
      <c r="AA30" s="81"/>
      <c r="AB30" s="81"/>
      <c r="AC30" s="81"/>
      <c r="AD30" s="92">
        <f>AJ30*$AK$36</f>
        <v>132.82164847787499</v>
      </c>
      <c r="AE30" s="92"/>
      <c r="AF30" s="92"/>
      <c r="AG30" s="92"/>
      <c r="AH30" s="92"/>
      <c r="AI30" s="92"/>
      <c r="AJ30" s="92">
        <f>AP30*$AK$36</f>
        <v>133.66572356651778</v>
      </c>
      <c r="AK30" s="92"/>
      <c r="AL30" s="92"/>
      <c r="AM30" s="92"/>
      <c r="AN30" s="92"/>
      <c r="AO30" s="92"/>
      <c r="AP30" s="92">
        <f>AV30*$AK$36</f>
        <v>134.51516271112158</v>
      </c>
      <c r="AQ30" s="92"/>
      <c r="AR30" s="92"/>
      <c r="AS30" s="92"/>
      <c r="AT30" s="92"/>
      <c r="AU30" s="92"/>
      <c r="AV30" s="93">
        <f>CY2</f>
        <v>135.37</v>
      </c>
      <c r="AW30" s="93"/>
      <c r="AX30" s="93"/>
      <c r="AY30" s="93"/>
      <c r="AZ30" s="93"/>
      <c r="BA30" s="93"/>
      <c r="BB30" s="92">
        <f>AV30*$AE$36</f>
        <v>136.23026973809627</v>
      </c>
      <c r="BC30" s="92"/>
      <c r="BD30" s="92"/>
      <c r="BE30" s="92"/>
      <c r="BF30" s="92"/>
      <c r="BG30" s="92"/>
      <c r="BH30" s="92">
        <f>BB30*$AE$36</f>
        <v>137.09600644835979</v>
      </c>
      <c r="BI30" s="92"/>
      <c r="BJ30" s="92"/>
      <c r="BK30" s="92"/>
      <c r="BL30" s="92"/>
      <c r="BM30" s="92"/>
      <c r="BN30" s="92">
        <f>BH30*$AE$36</f>
        <v>137.96724487313168</v>
      </c>
      <c r="BO30" s="92"/>
      <c r="BP30" s="92"/>
      <c r="BQ30" s="92"/>
      <c r="BR30" s="92"/>
      <c r="BS30" s="92"/>
      <c r="BT30" s="35"/>
      <c r="BU30" s="38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9"/>
    </row>
    <row r="31" spans="2:113" ht="15.6" thickTop="1" x14ac:dyDescent="0.35">
      <c r="B31" s="34"/>
      <c r="C31" s="35"/>
      <c r="D31" s="73"/>
      <c r="E31" s="102" t="s">
        <v>108</v>
      </c>
      <c r="F31" s="102"/>
      <c r="G31" s="102"/>
      <c r="H31" s="102"/>
      <c r="I31" s="102"/>
      <c r="J31" s="102"/>
      <c r="K31" s="102"/>
      <c r="L31" s="104" cm="1">
        <f t="array" ref="L31">ImpliedVolatility(K7,AB7,K8,AB8,AB10,K9,K12)</f>
        <v>0.29862752437591555</v>
      </c>
      <c r="M31" s="105"/>
      <c r="N31" s="105"/>
      <c r="O31" s="105"/>
      <c r="P31" s="105"/>
      <c r="Q31" s="105"/>
      <c r="R31" s="105"/>
      <c r="S31" s="74"/>
      <c r="T31" s="35"/>
      <c r="U31" s="35"/>
      <c r="V31" s="35"/>
      <c r="W31" s="94">
        <f>W32-2%</f>
        <v>0.25862752437591552</v>
      </c>
      <c r="X31" s="95"/>
      <c r="Y31" s="95"/>
      <c r="Z31" s="95"/>
      <c r="AA31" s="95"/>
      <c r="AB31" s="95"/>
      <c r="AC31" s="95"/>
      <c r="AD31" s="83" cm="1">
        <f t="array" ref="AD31">OptionPrice($K$7,AD$30,$K$8,$AB$8,$AB$10,$W31,$K$9,"BSM")*$K$10</f>
        <v>131.86271742547871</v>
      </c>
      <c r="AE31" s="83"/>
      <c r="AF31" s="83"/>
      <c r="AG31" s="83"/>
      <c r="AH31" s="83"/>
      <c r="AI31" s="83"/>
      <c r="AJ31" s="83" cm="1">
        <f t="array" ref="AJ31">OptionPrice($K$7,AJ$30,$K$8,$AB$8,$AB$10,$W31,$K$9,"BSM")*$K$10</f>
        <v>164.3260127138528</v>
      </c>
      <c r="AK31" s="83"/>
      <c r="AL31" s="83"/>
      <c r="AM31" s="83"/>
      <c r="AN31" s="83"/>
      <c r="AO31" s="83"/>
      <c r="AP31" s="83" cm="1">
        <f t="array" ref="AP31">OptionPrice($K$7,AP$30,$K$8,$AB$8,$AB$10,$W31,$K$9,"BSM")*$K$10</f>
        <v>201.96648702592444</v>
      </c>
      <c r="AQ31" s="83"/>
      <c r="AR31" s="83"/>
      <c r="AS31" s="83"/>
      <c r="AT31" s="83"/>
      <c r="AU31" s="83"/>
      <c r="AV31" s="86" cm="1">
        <f t="array" ref="AV31">OptionPrice($K$7,AV$30,$K$8,$AB$8,$AB$10,$W31,$K$9,"BSM")*$K$10</f>
        <v>244.95053198823027</v>
      </c>
      <c r="AW31" s="86"/>
      <c r="AX31" s="86"/>
      <c r="AY31" s="86"/>
      <c r="AZ31" s="86"/>
      <c r="BA31" s="86"/>
      <c r="BB31" s="83" cm="1">
        <f t="array" ref="BB31">OptionPrice($K$7,BB$30,$K$8,$AB$8,$AB$10,$W31,$K$9,"BSM")*$K$10</f>
        <v>293.34698509840445</v>
      </c>
      <c r="BC31" s="83"/>
      <c r="BD31" s="83"/>
      <c r="BE31" s="83"/>
      <c r="BF31" s="83"/>
      <c r="BG31" s="83"/>
      <c r="BH31" s="83" cm="1">
        <f t="array" ref="BH31">OptionPrice($K$7,BH$30,$K$8,$AB$8,$AB$10,$W31,$K$9,"BSM")*$K$10</f>
        <v>347.094471266445</v>
      </c>
      <c r="BI31" s="83"/>
      <c r="BJ31" s="83"/>
      <c r="BK31" s="83"/>
      <c r="BL31" s="83"/>
      <c r="BM31" s="83"/>
      <c r="BN31" s="83" cm="1">
        <f t="array" ref="BN31">OptionPrice($K$7,BN$30,$K$8,$AB$8,$AB$10,$W31,$K$9,"BSM")*$K$10</f>
        <v>406.03319222134229</v>
      </c>
      <c r="BO31" s="83"/>
      <c r="BP31" s="83"/>
      <c r="BQ31" s="83"/>
      <c r="BR31" s="83"/>
      <c r="BS31" s="83"/>
      <c r="BT31" s="35"/>
      <c r="BU31" s="38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9"/>
    </row>
    <row r="32" spans="2:113" x14ac:dyDescent="0.35">
      <c r="B32" s="34"/>
      <c r="C32" s="35"/>
      <c r="D32" s="73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4"/>
      <c r="T32" s="35"/>
      <c r="U32" s="35"/>
      <c r="V32" s="35"/>
      <c r="W32" s="94">
        <f>W33-2%</f>
        <v>0.27862752437591554</v>
      </c>
      <c r="X32" s="95"/>
      <c r="Y32" s="95"/>
      <c r="Z32" s="95"/>
      <c r="AA32" s="95"/>
      <c r="AB32" s="95"/>
      <c r="AC32" s="95"/>
      <c r="AD32" s="83" cm="1">
        <f t="array" ref="AD32">OptionPrice($K$7,AD$30,$K$8,$AB$8,$AB$10,$W32,$K$9,"BSM")*$K$10</f>
        <v>148.06590663942757</v>
      </c>
      <c r="AE32" s="83"/>
      <c r="AF32" s="83"/>
      <c r="AG32" s="83"/>
      <c r="AH32" s="83"/>
      <c r="AI32" s="83"/>
      <c r="AJ32" s="83" cm="1">
        <f t="array" ref="AJ32">OptionPrice($K$7,AJ$30,$K$8,$AB$8,$AB$10,$W32,$K$9,"BSM")*$K$10</f>
        <v>181.31087356343787</v>
      </c>
      <c r="AK32" s="83"/>
      <c r="AL32" s="83"/>
      <c r="AM32" s="83"/>
      <c r="AN32" s="83"/>
      <c r="AO32" s="83"/>
      <c r="AP32" s="83" cm="1">
        <f t="array" ref="AP32">OptionPrice($K$7,AP$30,$K$8,$AB$8,$AB$10,$W32,$K$9,"BSM")*$K$10</f>
        <v>219.40056106902591</v>
      </c>
      <c r="AQ32" s="83"/>
      <c r="AR32" s="83"/>
      <c r="AS32" s="83"/>
      <c r="AT32" s="83"/>
      <c r="AU32" s="83"/>
      <c r="AV32" s="86" cm="1">
        <f t="array" ref="AV32">OptionPrice($K$7,AV$30,$K$8,$AB$8,$AB$10,$W32,$K$9,"BSM")*$K$10</f>
        <v>262.47356364568219</v>
      </c>
      <c r="AW32" s="86"/>
      <c r="AX32" s="86"/>
      <c r="AY32" s="86"/>
      <c r="AZ32" s="86"/>
      <c r="BA32" s="86"/>
      <c r="BB32" s="83" cm="1">
        <f t="array" ref="BB32">OptionPrice($K$7,BB$30,$K$8,$AB$8,$AB$10,$W32,$K$9,"BSM")*$K$10</f>
        <v>310.59320436454317</v>
      </c>
      <c r="BC32" s="83"/>
      <c r="BD32" s="83"/>
      <c r="BE32" s="83"/>
      <c r="BF32" s="83"/>
      <c r="BG32" s="83"/>
      <c r="BH32" s="83" cm="1">
        <f t="array" ref="BH32">OptionPrice($K$7,BH$30,$K$8,$AB$8,$AB$10,$W32,$K$9,"BSM")*$K$10</f>
        <v>363.71538480958827</v>
      </c>
      <c r="BI32" s="83"/>
      <c r="BJ32" s="83"/>
      <c r="BK32" s="83"/>
      <c r="BL32" s="83"/>
      <c r="BM32" s="83"/>
      <c r="BN32" s="83" cm="1">
        <f t="array" ref="BN32">OptionPrice($K$7,BN$30,$K$8,$AB$8,$AB$10,$W32,$K$9,"BSM")*$K$10</f>
        <v>421.71853801359964</v>
      </c>
      <c r="BO32" s="83"/>
      <c r="BP32" s="83"/>
      <c r="BQ32" s="83"/>
      <c r="BR32" s="83"/>
      <c r="BS32" s="83"/>
      <c r="BT32" s="35"/>
      <c r="BU32" s="38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9"/>
    </row>
    <row r="33" spans="2:109" x14ac:dyDescent="0.35">
      <c r="B33" s="34"/>
      <c r="C33" s="35"/>
      <c r="D33" s="73"/>
      <c r="E33" s="102" t="s">
        <v>103</v>
      </c>
      <c r="F33" s="102"/>
      <c r="G33" s="102"/>
      <c r="H33" s="102"/>
      <c r="I33" s="102"/>
      <c r="J33" s="102"/>
      <c r="K33" s="102"/>
      <c r="L33" s="103" cm="1">
        <f t="array" ref="L33">Greeks($K$7,$AB$7,$K$8,$AB$8,$AB$10,$AB$9,$K$9,E33)</f>
        <v>0.53098326969631449</v>
      </c>
      <c r="M33" s="103"/>
      <c r="N33" s="103"/>
      <c r="O33" s="103"/>
      <c r="P33" s="103"/>
      <c r="Q33" s="103"/>
      <c r="R33" s="103"/>
      <c r="S33" s="74"/>
      <c r="T33" s="35"/>
      <c r="U33" s="35"/>
      <c r="V33" s="35"/>
      <c r="W33" s="96">
        <f>L31</f>
        <v>0.29862752437591555</v>
      </c>
      <c r="X33" s="97"/>
      <c r="Y33" s="97"/>
      <c r="Z33" s="97"/>
      <c r="AA33" s="97"/>
      <c r="AB33" s="97"/>
      <c r="AC33" s="97"/>
      <c r="AD33" s="86" cm="1">
        <f t="array" ref="AD33">OptionPrice($K$7,AD$30,$K$8,$AB$8,$AB$10,$W33,$K$9,"BSM")*$K$10</f>
        <v>164.4223390623487</v>
      </c>
      <c r="AE33" s="86"/>
      <c r="AF33" s="86"/>
      <c r="AG33" s="86"/>
      <c r="AH33" s="86"/>
      <c r="AI33" s="86"/>
      <c r="AJ33" s="86" cm="1">
        <f t="array" ref="AJ33">OptionPrice($K$7,AJ$30,$K$8,$AB$8,$AB$10,$W33,$K$9,"BSM")*$K$10</f>
        <v>198.35575436443435</v>
      </c>
      <c r="AK33" s="86"/>
      <c r="AL33" s="86"/>
      <c r="AM33" s="86"/>
      <c r="AN33" s="86"/>
      <c r="AO33" s="86"/>
      <c r="AP33" s="86" cm="1">
        <f t="array" ref="AP33">OptionPrice($K$7,AP$30,$K$8,$AB$8,$AB$10,$W33,$K$9,"BSM")*$K$10</f>
        <v>236.84257614515073</v>
      </c>
      <c r="AQ33" s="86"/>
      <c r="AR33" s="86"/>
      <c r="AS33" s="86"/>
      <c r="AT33" s="86"/>
      <c r="AU33" s="86"/>
      <c r="AV33" s="87" cm="1">
        <f t="array" ref="AV33">OptionPrice($K$7,AV$30,$K$8,$AB$8,$AB$10,$W33,$K$9,"BSM")*$K$10</f>
        <v>280.00006360624616</v>
      </c>
      <c r="AW33" s="87"/>
      <c r="AX33" s="87"/>
      <c r="AY33" s="87"/>
      <c r="AZ33" s="87"/>
      <c r="BA33" s="87"/>
      <c r="BB33" s="86" cm="1">
        <f t="array" ref="BB33">OptionPrice($K$7,BB$30,$K$8,$AB$8,$AB$10,$W33,$K$9,"BSM")*$K$10</f>
        <v>327.8870015605176</v>
      </c>
      <c r="BC33" s="86"/>
      <c r="BD33" s="86"/>
      <c r="BE33" s="86"/>
      <c r="BF33" s="86"/>
      <c r="BG33" s="86"/>
      <c r="BH33" s="86" cm="1">
        <f t="array" ref="BH33">OptionPrice($K$7,BH$30,$K$8,$AB$8,$AB$10,$W33,$K$9,"BSM")*$K$10</f>
        <v>380.47189885236168</v>
      </c>
      <c r="BI33" s="86"/>
      <c r="BJ33" s="86"/>
      <c r="BK33" s="86"/>
      <c r="BL33" s="86"/>
      <c r="BM33" s="86"/>
      <c r="BN33" s="86" cm="1">
        <f t="array" ref="BN33">OptionPrice($K$7,BN$30,$K$8,$AB$8,$AB$10,$W33,$K$9,"BSM")*$K$10</f>
        <v>437.66176933985088</v>
      </c>
      <c r="BO33" s="86"/>
      <c r="BP33" s="86"/>
      <c r="BQ33" s="86"/>
      <c r="BR33" s="86"/>
      <c r="BS33" s="86"/>
      <c r="BT33" s="35"/>
      <c r="BU33" s="38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9"/>
    </row>
    <row r="34" spans="2:109" x14ac:dyDescent="0.35">
      <c r="B34" s="34"/>
      <c r="C34" s="35"/>
      <c r="D34" s="73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4"/>
      <c r="T34" s="35"/>
      <c r="U34" s="35"/>
      <c r="V34" s="35"/>
      <c r="W34" s="94">
        <f>W33+2%</f>
        <v>0.31862752437591557</v>
      </c>
      <c r="X34" s="95"/>
      <c r="Y34" s="95"/>
      <c r="Z34" s="95"/>
      <c r="AA34" s="95"/>
      <c r="AB34" s="95"/>
      <c r="AC34" s="95"/>
      <c r="AD34" s="83" cm="1">
        <f t="array" ref="AD34">OptionPrice($K$7,AD$30,$K$8,$AB$8,$AB$10,$W34,$K$9,"BSM")*$K$10</f>
        <v>180.90406980937146</v>
      </c>
      <c r="AE34" s="83"/>
      <c r="AF34" s="83"/>
      <c r="AG34" s="83"/>
      <c r="AH34" s="83"/>
      <c r="AI34" s="83"/>
      <c r="AJ34" s="83" cm="1">
        <f t="array" ref="AJ34">OptionPrice($K$7,AJ$30,$K$8,$AB$8,$AB$10,$W34,$K$9,"BSM")*$K$10</f>
        <v>215.44934543907698</v>
      </c>
      <c r="AK34" s="83"/>
      <c r="AL34" s="83"/>
      <c r="AM34" s="83"/>
      <c r="AN34" s="83"/>
      <c r="AO34" s="83"/>
      <c r="AP34" s="83" cm="1">
        <f t="array" ref="AP34">OptionPrice($K$7,AP$30,$K$8,$AB$8,$AB$10,$W34,$K$9,"BSM")*$K$10</f>
        <v>254.29087201658902</v>
      </c>
      <c r="AQ34" s="83"/>
      <c r="AR34" s="83"/>
      <c r="AS34" s="83"/>
      <c r="AT34" s="83"/>
      <c r="AU34" s="83"/>
      <c r="AV34" s="86" cm="1">
        <f t="array" ref="AV34">OptionPrice($K$7,AV$30,$K$8,$AB$8,$AB$10,$W34,$K$9,"BSM")*$K$10</f>
        <v>297.52921093871561</v>
      </c>
      <c r="AW34" s="86"/>
      <c r="AX34" s="86"/>
      <c r="AY34" s="86"/>
      <c r="AZ34" s="86"/>
      <c r="BA34" s="86"/>
      <c r="BB34" s="83" cm="1">
        <f t="array" ref="BB34">OptionPrice($K$7,BB$30,$K$8,$AB$8,$AB$10,$W34,$K$9,"BSM")*$K$10</f>
        <v>345.21934793013634</v>
      </c>
      <c r="BC34" s="83"/>
      <c r="BD34" s="83"/>
      <c r="BE34" s="83"/>
      <c r="BF34" s="83"/>
      <c r="BG34" s="83"/>
      <c r="BH34" s="83" cm="1">
        <f t="array" ref="BH34">OptionPrice($K$7,BH$30,$K$8,$AB$8,$AB$10,$W34,$K$9,"BSM")*$K$10</f>
        <v>397.33913382165559</v>
      </c>
      <c r="BI34" s="83"/>
      <c r="BJ34" s="83"/>
      <c r="BK34" s="83"/>
      <c r="BL34" s="83"/>
      <c r="BM34" s="83"/>
      <c r="BN34" s="83" cm="1">
        <f t="array" ref="BN34">OptionPrice($K$7,BN$30,$K$8,$AB$8,$AB$10,$W34,$K$9,"BSM")*$K$10</f>
        <v>453.81729894107661</v>
      </c>
      <c r="BO34" s="83"/>
      <c r="BP34" s="83"/>
      <c r="BQ34" s="83"/>
      <c r="BR34" s="83"/>
      <c r="BS34" s="83"/>
      <c r="BT34" s="35"/>
      <c r="BU34" s="38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9"/>
    </row>
    <row r="35" spans="2:109" ht="15.6" thickBot="1" x14ac:dyDescent="0.4">
      <c r="B35" s="34"/>
      <c r="C35" s="35"/>
      <c r="D35" s="73"/>
      <c r="E35" s="102" t="s">
        <v>104</v>
      </c>
      <c r="F35" s="102"/>
      <c r="G35" s="102"/>
      <c r="H35" s="102"/>
      <c r="I35" s="102"/>
      <c r="J35" s="102"/>
      <c r="K35" s="102"/>
      <c r="L35" s="106" cm="1">
        <f t="array" ref="L35">Greeks($K$7,$AB$7,$K$8,$AB$8,$AB$10,$AB$9,$K$9,E35)</f>
        <v>6.129410103629198E-2</v>
      </c>
      <c r="M35" s="106"/>
      <c r="N35" s="106"/>
      <c r="O35" s="106"/>
      <c r="P35" s="106"/>
      <c r="Q35" s="106"/>
      <c r="R35" s="106"/>
      <c r="S35" s="74"/>
      <c r="T35" s="35"/>
      <c r="U35" s="35"/>
      <c r="V35" s="35"/>
      <c r="W35" s="98">
        <f>W34+2%</f>
        <v>0.33862752437591559</v>
      </c>
      <c r="X35" s="99"/>
      <c r="Y35" s="99"/>
      <c r="Z35" s="99"/>
      <c r="AA35" s="99"/>
      <c r="AB35" s="99"/>
      <c r="AC35" s="99"/>
      <c r="AD35" s="84" cm="1">
        <f t="array" ref="AD35">OptionPrice($K$7,AD$30,$K$8,$AB$8,$AB$10,$W35,$K$9,"BSM")*$K$10</f>
        <v>197.48946013146619</v>
      </c>
      <c r="AE35" s="84"/>
      <c r="AF35" s="84"/>
      <c r="AG35" s="84"/>
      <c r="AH35" s="84"/>
      <c r="AI35" s="84"/>
      <c r="AJ35" s="84" cm="1">
        <f t="array" ref="AJ35">OptionPrice($K$7,AJ$30,$K$8,$AB$8,$AB$10,$W35,$K$9,"BSM")*$K$10</f>
        <v>232.58295530282189</v>
      </c>
      <c r="AK35" s="84"/>
      <c r="AL35" s="84"/>
      <c r="AM35" s="84"/>
      <c r="AN35" s="84"/>
      <c r="AO35" s="84"/>
      <c r="AP35" s="84" cm="1">
        <f t="array" ref="AP35">OptionPrice($K$7,AP$30,$K$8,$AB$8,$AB$10,$W35,$K$9,"BSM")*$K$10</f>
        <v>271.74416888839659</v>
      </c>
      <c r="AQ35" s="84"/>
      <c r="AR35" s="84"/>
      <c r="AS35" s="84"/>
      <c r="AT35" s="84"/>
      <c r="AU35" s="84"/>
      <c r="AV35" s="85" cm="1">
        <f t="array" ref="AV35">OptionPrice($K$7,AV$30,$K$8,$AB$8,$AB$10,$W35,$K$9,"BSM")*$K$10</f>
        <v>315.06036748402323</v>
      </c>
      <c r="AW35" s="85"/>
      <c r="AX35" s="85"/>
      <c r="AY35" s="85"/>
      <c r="AZ35" s="85"/>
      <c r="BA35" s="85"/>
      <c r="BB35" s="84" cm="1">
        <f t="array" ref="BB35">OptionPrice($K$7,BB$30,$K$8,$AB$8,$AB$10,$W35,$K$9,"BSM")*$K$10</f>
        <v>362.58331005200057</v>
      </c>
      <c r="BC35" s="84"/>
      <c r="BD35" s="84"/>
      <c r="BE35" s="84"/>
      <c r="BF35" s="84"/>
      <c r="BG35" s="84"/>
      <c r="BH35" s="84" cm="1">
        <f t="array" ref="BH35">OptionPrice($K$7,BH$30,$K$8,$AB$8,$AB$10,$W35,$K$9,"BSM")*$K$10</f>
        <v>414.29785848084941</v>
      </c>
      <c r="BI35" s="84"/>
      <c r="BJ35" s="84"/>
      <c r="BK35" s="84"/>
      <c r="BL35" s="84"/>
      <c r="BM35" s="84"/>
      <c r="BN35" s="84" cm="1">
        <f t="array" ref="BN35">OptionPrice($K$7,BN$30,$K$8,$AB$8,$AB$10,$W35,$K$9,"BSM")*$K$10</f>
        <v>470.14948022688435</v>
      </c>
      <c r="BO35" s="84"/>
      <c r="BP35" s="84"/>
      <c r="BQ35" s="84"/>
      <c r="BR35" s="84"/>
      <c r="BS35" s="84"/>
      <c r="BT35" s="35"/>
      <c r="BU35" s="38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9"/>
    </row>
    <row r="36" spans="2:109" x14ac:dyDescent="0.35">
      <c r="B36" s="34"/>
      <c r="C36" s="35"/>
      <c r="D36" s="73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4"/>
      <c r="T36" s="35"/>
      <c r="U36" s="35"/>
      <c r="V36" s="35"/>
      <c r="W36" s="88" t="s">
        <v>114</v>
      </c>
      <c r="X36" s="88"/>
      <c r="Y36" s="89">
        <f ca="1">(K9+16/20-NOW())/252</f>
        <v>2.702337274029791E-2</v>
      </c>
      <c r="Z36" s="89"/>
      <c r="AA36" s="89"/>
      <c r="AB36" s="89"/>
      <c r="AC36" s="88" t="s">
        <v>115</v>
      </c>
      <c r="AD36" s="88"/>
      <c r="AE36" s="90">
        <f>EXP(L31*SQRT(252*LN(1+AB8/252)))</f>
        <v>1.0063549511568017</v>
      </c>
      <c r="AF36" s="90"/>
      <c r="AG36" s="90"/>
      <c r="AH36" s="90"/>
      <c r="AI36" s="88" t="s">
        <v>116</v>
      </c>
      <c r="AJ36" s="88"/>
      <c r="AK36" s="90">
        <f>1/AE36</f>
        <v>0.9936851792208139</v>
      </c>
      <c r="AL36" s="90"/>
      <c r="AM36" s="90"/>
      <c r="AN36" s="90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L36" s="66" t="s">
        <v>124</v>
      </c>
      <c r="BM36" s="35"/>
      <c r="BN36" s="35"/>
      <c r="BO36" s="35"/>
      <c r="BP36" s="35"/>
      <c r="BQ36" s="35"/>
      <c r="BR36" s="35"/>
      <c r="BS36" s="35"/>
      <c r="BT36" s="35"/>
      <c r="BU36" s="38"/>
      <c r="BV36" s="35"/>
      <c r="BW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9"/>
    </row>
    <row r="37" spans="2:109" x14ac:dyDescent="0.35">
      <c r="B37" s="34"/>
      <c r="C37" s="35"/>
      <c r="D37" s="73"/>
      <c r="E37" s="102" t="s">
        <v>105</v>
      </c>
      <c r="F37" s="102"/>
      <c r="G37" s="102"/>
      <c r="H37" s="102"/>
      <c r="I37" s="102"/>
      <c r="J37" s="102"/>
      <c r="K37" s="102"/>
      <c r="L37" s="103" cm="1">
        <f t="array" ref="L37">Greeks($K$7,$AB$7,$K$8,$AB$8,$AB$10,$AB$9,$K$9,E37)</f>
        <v>-48.268273740780963</v>
      </c>
      <c r="M37" s="103"/>
      <c r="N37" s="103"/>
      <c r="O37" s="103"/>
      <c r="P37" s="103"/>
      <c r="Q37" s="103"/>
      <c r="R37" s="103"/>
      <c r="S37" s="74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8"/>
      <c r="BV37" s="35"/>
      <c r="BW37" s="35"/>
      <c r="BX37" s="82" t="s">
        <v>91</v>
      </c>
      <c r="BY37" s="82"/>
      <c r="BZ37" s="82"/>
      <c r="CA37" s="82"/>
      <c r="CB37" s="82"/>
      <c r="CC37" s="82"/>
      <c r="CD37" s="82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9"/>
    </row>
    <row r="38" spans="2:109" x14ac:dyDescent="0.35">
      <c r="B38" s="34"/>
      <c r="C38" s="35"/>
      <c r="D38" s="73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4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8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9"/>
    </row>
    <row r="39" spans="2:109" x14ac:dyDescent="0.35">
      <c r="B39" s="34"/>
      <c r="C39" s="35"/>
      <c r="D39" s="73"/>
      <c r="E39" s="102" t="s">
        <v>106</v>
      </c>
      <c r="F39" s="102"/>
      <c r="G39" s="102"/>
      <c r="H39" s="102"/>
      <c r="I39" s="102"/>
      <c r="J39" s="102"/>
      <c r="K39" s="102"/>
      <c r="L39" s="103" cm="1">
        <f t="array" ref="L39">Greeks($K$7,$AB$7,$K$8,$AB$8,$AB$10,$AB$9,$K$9,E39)</f>
        <v>8.7637307171334076</v>
      </c>
      <c r="M39" s="103"/>
      <c r="N39" s="103"/>
      <c r="O39" s="103"/>
      <c r="P39" s="103"/>
      <c r="Q39" s="103"/>
      <c r="R39" s="103"/>
      <c r="S39" s="74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8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9"/>
    </row>
    <row r="40" spans="2:109" x14ac:dyDescent="0.35">
      <c r="B40" s="34"/>
      <c r="C40" s="35"/>
      <c r="D40" s="73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4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8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9"/>
    </row>
    <row r="41" spans="2:109" x14ac:dyDescent="0.35">
      <c r="B41" s="34"/>
      <c r="C41" s="35"/>
      <c r="D41" s="73"/>
      <c r="E41" s="102" t="s">
        <v>107</v>
      </c>
      <c r="F41" s="102"/>
      <c r="G41" s="102"/>
      <c r="H41" s="102"/>
      <c r="I41" s="102"/>
      <c r="J41" s="102"/>
      <c r="K41" s="102"/>
      <c r="L41" s="103" cm="1">
        <f t="array" ref="L41">Greeks($K$7,$AB$7,$K$8,$AB$8,$AB$10,$AB$9,$K$9,E41)</f>
        <v>69.116268550535096</v>
      </c>
      <c r="M41" s="103"/>
      <c r="N41" s="103"/>
      <c r="O41" s="103"/>
      <c r="P41" s="103"/>
      <c r="Q41" s="103"/>
      <c r="R41" s="103"/>
      <c r="S41" s="74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8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9"/>
    </row>
    <row r="42" spans="2:109" x14ac:dyDescent="0.35">
      <c r="B42" s="34"/>
      <c r="C42" s="35"/>
      <c r="D42" s="76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8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8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9"/>
    </row>
    <row r="43" spans="2:109" x14ac:dyDescent="0.35">
      <c r="B43" s="34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8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9"/>
    </row>
    <row r="44" spans="2:109" x14ac:dyDescent="0.35">
      <c r="B44" s="34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8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9"/>
    </row>
    <row r="45" spans="2:109" x14ac:dyDescent="0.35">
      <c r="B45" s="34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8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9"/>
    </row>
    <row r="46" spans="2:109" ht="15.6" thickBot="1" x14ac:dyDescent="0.4">
      <c r="B46" s="42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7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8"/>
    </row>
    <row r="47" spans="2:109" x14ac:dyDescent="0.35"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</row>
    <row r="48" spans="2:109" x14ac:dyDescent="0.35"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</row>
    <row r="49" spans="2:109" x14ac:dyDescent="0.35"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</row>
    <row r="50" spans="2:109" x14ac:dyDescent="0.35"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</row>
    <row r="51" spans="2:109" x14ac:dyDescent="0.35"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</row>
    <row r="52" spans="2:109" x14ac:dyDescent="0.35"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</row>
    <row r="53" spans="2:109" x14ac:dyDescent="0.35"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</row>
    <row r="54" spans="2:109" x14ac:dyDescent="0.35"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</row>
    <row r="55" spans="2:109" x14ac:dyDescent="0.35"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</row>
    <row r="56" spans="2:109" x14ac:dyDescent="0.35"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</row>
    <row r="57" spans="2:109" x14ac:dyDescent="0.35"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</row>
    <row r="58" spans="2:109" x14ac:dyDescent="0.35"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</row>
    <row r="59" spans="2:109" x14ac:dyDescent="0.35"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</row>
    <row r="60" spans="2:109" x14ac:dyDescent="0.35"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</row>
    <row r="61" spans="2:109" x14ac:dyDescent="0.35"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</row>
    <row r="62" spans="2:109" x14ac:dyDescent="0.35"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</row>
    <row r="63" spans="2:109" x14ac:dyDescent="0.35"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</row>
    <row r="64" spans="2:109" x14ac:dyDescent="0.35"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</row>
    <row r="65" spans="2:109" x14ac:dyDescent="0.35"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</row>
    <row r="66" spans="2:109" x14ac:dyDescent="0.35"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</row>
    <row r="67" spans="2:109" x14ac:dyDescent="0.35"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</row>
    <row r="68" spans="2:109" x14ac:dyDescent="0.35"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</row>
    <row r="69" spans="2:109" x14ac:dyDescent="0.35"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</row>
    <row r="70" spans="2:109" x14ac:dyDescent="0.35"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</row>
    <row r="71" spans="2:109" x14ac:dyDescent="0.35"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</row>
    <row r="72" spans="2:109" x14ac:dyDescent="0.35"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</row>
    <row r="73" spans="2:109" x14ac:dyDescent="0.35"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</row>
    <row r="74" spans="2:109" x14ac:dyDescent="0.35"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</row>
    <row r="75" spans="2:109" x14ac:dyDescent="0.35"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</row>
    <row r="76" spans="2:109" x14ac:dyDescent="0.35"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</row>
    <row r="77" spans="2:109" x14ac:dyDescent="0.35"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</row>
    <row r="78" spans="2:109" x14ac:dyDescent="0.35"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</row>
    <row r="79" spans="2:109" x14ac:dyDescent="0.35"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</row>
    <row r="80" spans="2:109" x14ac:dyDescent="0.35"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</row>
    <row r="81" spans="2:109" x14ac:dyDescent="0.35"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</row>
    <row r="82" spans="2:109" x14ac:dyDescent="0.35"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</row>
    <row r="83" spans="2:109" x14ac:dyDescent="0.35"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</row>
    <row r="84" spans="2:109" x14ac:dyDescent="0.35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</row>
    <row r="85" spans="2:109" x14ac:dyDescent="0.35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</row>
    <row r="86" spans="2:109" x14ac:dyDescent="0.35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</row>
    <row r="87" spans="2:109" x14ac:dyDescent="0.35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</row>
    <row r="88" spans="2:109" x14ac:dyDescent="0.35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  <c r="DA88" s="35"/>
      <c r="DB88" s="35"/>
      <c r="DC88" s="35"/>
      <c r="DD88" s="35"/>
      <c r="DE88" s="35"/>
    </row>
    <row r="89" spans="2:109" x14ac:dyDescent="0.35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</row>
    <row r="90" spans="2:109" x14ac:dyDescent="0.35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</row>
    <row r="91" spans="2:109" x14ac:dyDescent="0.35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  <c r="DA91" s="35"/>
      <c r="DB91" s="35"/>
      <c r="DC91" s="35"/>
      <c r="DD91" s="35"/>
      <c r="DE91" s="35"/>
    </row>
    <row r="92" spans="2:109" x14ac:dyDescent="0.35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  <c r="DA92" s="35"/>
      <c r="DB92" s="35"/>
      <c r="DC92" s="35"/>
      <c r="DD92" s="35"/>
      <c r="DE92" s="35"/>
    </row>
    <row r="93" spans="2:109" x14ac:dyDescent="0.35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35"/>
      <c r="CZ93" s="35"/>
      <c r="DA93" s="35"/>
      <c r="DB93" s="35"/>
      <c r="DC93" s="35"/>
      <c r="DD93" s="35"/>
      <c r="DE93" s="35"/>
    </row>
    <row r="94" spans="2:109" x14ac:dyDescent="0.35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</row>
    <row r="95" spans="2:109" x14ac:dyDescent="0.35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</row>
    <row r="96" spans="2:109" x14ac:dyDescent="0.35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</row>
    <row r="97" spans="2:109" x14ac:dyDescent="0.35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  <c r="DA97" s="35"/>
      <c r="DB97" s="35"/>
      <c r="DC97" s="35"/>
      <c r="DD97" s="35"/>
      <c r="DE97" s="35"/>
    </row>
    <row r="98" spans="2:109" x14ac:dyDescent="0.35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  <c r="DA98" s="35"/>
      <c r="DB98" s="35"/>
      <c r="DC98" s="35"/>
      <c r="DD98" s="35"/>
      <c r="DE98" s="35"/>
    </row>
    <row r="99" spans="2:109" x14ac:dyDescent="0.35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</row>
    <row r="100" spans="2:109" x14ac:dyDescent="0.35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  <c r="DA100" s="35"/>
      <c r="DB100" s="35"/>
      <c r="DC100" s="35"/>
      <c r="DD100" s="35"/>
      <c r="DE100" s="35"/>
    </row>
    <row r="101" spans="2:109" x14ac:dyDescent="0.35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5"/>
      <c r="CQ101" s="35"/>
      <c r="CR101" s="35"/>
      <c r="CS101" s="35"/>
      <c r="CT101" s="35"/>
      <c r="CU101" s="35"/>
      <c r="CV101" s="35"/>
      <c r="CW101" s="35"/>
      <c r="CX101" s="35"/>
      <c r="CY101" s="35"/>
      <c r="CZ101" s="35"/>
      <c r="DA101" s="35"/>
      <c r="DB101" s="35"/>
      <c r="DC101" s="35"/>
      <c r="DD101" s="35"/>
      <c r="DE101" s="35"/>
    </row>
    <row r="102" spans="2:109" x14ac:dyDescent="0.35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5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5"/>
      <c r="CQ102" s="35"/>
      <c r="CR102" s="35"/>
      <c r="CS102" s="35"/>
      <c r="CT102" s="35"/>
      <c r="CU102" s="35"/>
      <c r="CV102" s="35"/>
      <c r="CW102" s="35"/>
      <c r="CX102" s="35"/>
      <c r="CY102" s="35"/>
      <c r="CZ102" s="35"/>
      <c r="DA102" s="35"/>
      <c r="DB102" s="35"/>
      <c r="DC102" s="35"/>
      <c r="DD102" s="35"/>
      <c r="DE102" s="35"/>
    </row>
    <row r="103" spans="2:109" x14ac:dyDescent="0.35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5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5"/>
      <c r="CQ103" s="35"/>
      <c r="CR103" s="35"/>
      <c r="CS103" s="35"/>
      <c r="CT103" s="35"/>
      <c r="CU103" s="35"/>
      <c r="CV103" s="35"/>
      <c r="CW103" s="35"/>
      <c r="CX103" s="35"/>
      <c r="CY103" s="35"/>
      <c r="CZ103" s="35"/>
      <c r="DA103" s="35"/>
      <c r="DB103" s="35"/>
      <c r="DC103" s="35"/>
      <c r="DD103" s="35"/>
      <c r="DE103" s="35"/>
    </row>
    <row r="104" spans="2:109" x14ac:dyDescent="0.35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35"/>
      <c r="CF104" s="35"/>
      <c r="CG104" s="35"/>
      <c r="CH104" s="35"/>
      <c r="CI104" s="35"/>
      <c r="CJ104" s="35"/>
      <c r="CK104" s="35"/>
      <c r="CL104" s="35"/>
      <c r="CM104" s="35"/>
      <c r="CN104" s="35"/>
      <c r="CO104" s="35"/>
      <c r="CP104" s="35"/>
      <c r="CQ104" s="35"/>
      <c r="CR104" s="35"/>
      <c r="CS104" s="35"/>
      <c r="CT104" s="35"/>
      <c r="CU104" s="35"/>
      <c r="CV104" s="35"/>
      <c r="CW104" s="35"/>
      <c r="CX104" s="35"/>
      <c r="CY104" s="35"/>
      <c r="CZ104" s="35"/>
      <c r="DA104" s="35"/>
      <c r="DB104" s="35"/>
      <c r="DC104" s="35"/>
      <c r="DD104" s="35"/>
      <c r="DE104" s="35"/>
    </row>
    <row r="105" spans="2:109" x14ac:dyDescent="0.35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5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5"/>
      <c r="CQ105" s="35"/>
      <c r="CR105" s="35"/>
      <c r="CS105" s="35"/>
      <c r="CT105" s="35"/>
      <c r="CU105" s="35"/>
      <c r="CV105" s="35"/>
      <c r="CW105" s="35"/>
      <c r="CX105" s="35"/>
      <c r="CY105" s="35"/>
      <c r="CZ105" s="35"/>
      <c r="DA105" s="35"/>
      <c r="DB105" s="35"/>
      <c r="DC105" s="35"/>
      <c r="DD105" s="35"/>
      <c r="DE105" s="35"/>
    </row>
    <row r="106" spans="2:109" x14ac:dyDescent="0.35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5"/>
      <c r="CQ106" s="35"/>
      <c r="CR106" s="35"/>
      <c r="CS106" s="35"/>
      <c r="CT106" s="35"/>
      <c r="CU106" s="35"/>
      <c r="CV106" s="35"/>
      <c r="CW106" s="35"/>
      <c r="CX106" s="35"/>
      <c r="CY106" s="35"/>
      <c r="CZ106" s="35"/>
      <c r="DA106" s="35"/>
      <c r="DB106" s="35"/>
      <c r="DC106" s="35"/>
      <c r="DD106" s="35"/>
      <c r="DE106" s="35"/>
    </row>
    <row r="107" spans="2:109" x14ac:dyDescent="0.35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5"/>
      <c r="CQ107" s="35"/>
      <c r="CR107" s="35"/>
      <c r="CS107" s="35"/>
      <c r="CT107" s="35"/>
      <c r="CU107" s="35"/>
      <c r="CV107" s="35"/>
      <c r="CW107" s="35"/>
      <c r="CX107" s="35"/>
      <c r="CY107" s="35"/>
      <c r="CZ107" s="35"/>
      <c r="DA107" s="35"/>
      <c r="DB107" s="35"/>
      <c r="DC107" s="35"/>
      <c r="DD107" s="35"/>
      <c r="DE107" s="35"/>
    </row>
    <row r="108" spans="2:109" x14ac:dyDescent="0.35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35"/>
      <c r="BW108" s="35"/>
      <c r="BX108" s="35"/>
      <c r="BY108" s="35"/>
      <c r="BZ108" s="35"/>
      <c r="CA108" s="35"/>
      <c r="CB108" s="35"/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5"/>
      <c r="CQ108" s="35"/>
      <c r="CR108" s="35"/>
      <c r="CS108" s="35"/>
      <c r="CT108" s="35"/>
      <c r="CU108" s="35"/>
      <c r="CV108" s="35"/>
      <c r="CW108" s="35"/>
      <c r="CX108" s="35"/>
      <c r="CY108" s="35"/>
      <c r="CZ108" s="35"/>
      <c r="DA108" s="35"/>
      <c r="DB108" s="35"/>
      <c r="DC108" s="35"/>
      <c r="DD108" s="35"/>
      <c r="DE108" s="35"/>
    </row>
    <row r="109" spans="2:109" x14ac:dyDescent="0.35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  <c r="BV109" s="35"/>
      <c r="BW109" s="35"/>
      <c r="BX109" s="35"/>
      <c r="BY109" s="35"/>
      <c r="BZ109" s="35"/>
      <c r="CA109" s="35"/>
      <c r="CB109" s="35"/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5"/>
      <c r="CQ109" s="35"/>
      <c r="CR109" s="35"/>
      <c r="CS109" s="35"/>
      <c r="CT109" s="35"/>
      <c r="CU109" s="35"/>
      <c r="CV109" s="35"/>
      <c r="CW109" s="35"/>
      <c r="CX109" s="35"/>
      <c r="CY109" s="35"/>
      <c r="CZ109" s="35"/>
      <c r="DA109" s="35"/>
      <c r="DB109" s="35"/>
      <c r="DC109" s="35"/>
      <c r="DD109" s="35"/>
      <c r="DE109" s="35"/>
    </row>
    <row r="110" spans="2:109" x14ac:dyDescent="0.35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5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5"/>
      <c r="CQ110" s="35"/>
      <c r="CR110" s="35"/>
      <c r="CS110" s="35"/>
      <c r="CT110" s="35"/>
      <c r="CU110" s="35"/>
      <c r="CV110" s="35"/>
      <c r="CW110" s="35"/>
      <c r="CX110" s="35"/>
      <c r="CY110" s="35"/>
      <c r="CZ110" s="35"/>
      <c r="DA110" s="35"/>
      <c r="DB110" s="35"/>
      <c r="DC110" s="35"/>
      <c r="DD110" s="35"/>
      <c r="DE110" s="35"/>
    </row>
    <row r="111" spans="2:109" x14ac:dyDescent="0.35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5"/>
      <c r="CQ111" s="35"/>
      <c r="CR111" s="35"/>
      <c r="CS111" s="35"/>
      <c r="CT111" s="35"/>
      <c r="CU111" s="35"/>
      <c r="CV111" s="35"/>
      <c r="CW111" s="35"/>
      <c r="CX111" s="35"/>
      <c r="CY111" s="35"/>
      <c r="CZ111" s="35"/>
      <c r="DA111" s="35"/>
      <c r="DB111" s="35"/>
      <c r="DC111" s="35"/>
      <c r="DD111" s="35"/>
      <c r="DE111" s="35"/>
    </row>
    <row r="112" spans="2:109" x14ac:dyDescent="0.35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5"/>
      <c r="CQ112" s="35"/>
      <c r="CR112" s="35"/>
      <c r="CS112" s="35"/>
      <c r="CT112" s="35"/>
      <c r="CU112" s="35"/>
      <c r="CV112" s="35"/>
      <c r="CW112" s="35"/>
      <c r="CX112" s="35"/>
      <c r="CY112" s="35"/>
      <c r="CZ112" s="35"/>
      <c r="DA112" s="35"/>
      <c r="DB112" s="35"/>
      <c r="DC112" s="35"/>
      <c r="DD112" s="35"/>
      <c r="DE112" s="35"/>
    </row>
    <row r="113" spans="2:109" x14ac:dyDescent="0.35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35"/>
      <c r="BW113" s="35"/>
      <c r="BX113" s="35"/>
      <c r="BY113" s="35"/>
      <c r="BZ113" s="35"/>
      <c r="CA113" s="35"/>
      <c r="CB113" s="35"/>
      <c r="CC113" s="35"/>
      <c r="CD113" s="35"/>
      <c r="CE113" s="35"/>
      <c r="CF113" s="35"/>
      <c r="CG113" s="35"/>
      <c r="CH113" s="35"/>
      <c r="CI113" s="35"/>
      <c r="CJ113" s="35"/>
      <c r="CK113" s="35"/>
      <c r="CL113" s="35"/>
      <c r="CM113" s="35"/>
      <c r="CN113" s="35"/>
      <c r="CO113" s="35"/>
      <c r="CP113" s="35"/>
      <c r="CQ113" s="35"/>
      <c r="CR113" s="35"/>
      <c r="CS113" s="35"/>
      <c r="CT113" s="35"/>
      <c r="CU113" s="35"/>
      <c r="CV113" s="35"/>
      <c r="CW113" s="35"/>
      <c r="CX113" s="35"/>
      <c r="CY113" s="35"/>
      <c r="CZ113" s="35"/>
      <c r="DA113" s="35"/>
      <c r="DB113" s="35"/>
      <c r="DC113" s="35"/>
      <c r="DD113" s="35"/>
      <c r="DE113" s="35"/>
    </row>
    <row r="114" spans="2:109" x14ac:dyDescent="0.35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5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5"/>
      <c r="CL114" s="35"/>
      <c r="CM114" s="35"/>
      <c r="CN114" s="35"/>
      <c r="CO114" s="35"/>
      <c r="CP114" s="35"/>
      <c r="CQ114" s="35"/>
      <c r="CR114" s="35"/>
      <c r="CS114" s="35"/>
      <c r="CT114" s="35"/>
      <c r="CU114" s="35"/>
      <c r="CV114" s="35"/>
      <c r="CW114" s="35"/>
      <c r="CX114" s="35"/>
      <c r="CY114" s="35"/>
      <c r="CZ114" s="35"/>
      <c r="DA114" s="35"/>
      <c r="DB114" s="35"/>
      <c r="DC114" s="35"/>
      <c r="DD114" s="35"/>
      <c r="DE114" s="35"/>
    </row>
    <row r="115" spans="2:109" x14ac:dyDescent="0.35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5"/>
      <c r="BZ115" s="35"/>
      <c r="CA115" s="35"/>
      <c r="CB115" s="35"/>
      <c r="CC115" s="35"/>
      <c r="CD115" s="35"/>
      <c r="CE115" s="35"/>
      <c r="CF115" s="35"/>
      <c r="CG115" s="35"/>
      <c r="CH115" s="35"/>
      <c r="CI115" s="35"/>
      <c r="CJ115" s="35"/>
      <c r="CK115" s="35"/>
      <c r="CL115" s="35"/>
      <c r="CM115" s="35"/>
      <c r="CN115" s="35"/>
      <c r="CO115" s="35"/>
      <c r="CP115" s="35"/>
      <c r="CQ115" s="35"/>
      <c r="CR115" s="35"/>
      <c r="CS115" s="35"/>
      <c r="CT115" s="35"/>
      <c r="CU115" s="35"/>
      <c r="CV115" s="35"/>
      <c r="CW115" s="35"/>
      <c r="CX115" s="35"/>
      <c r="CY115" s="35"/>
      <c r="CZ115" s="35"/>
      <c r="DA115" s="35"/>
      <c r="DB115" s="35"/>
      <c r="DC115" s="35"/>
      <c r="DD115" s="35"/>
      <c r="DE115" s="35"/>
    </row>
    <row r="116" spans="2:109" x14ac:dyDescent="0.35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/>
      <c r="CE116" s="35"/>
      <c r="CF116" s="35"/>
      <c r="CG116" s="35"/>
      <c r="CH116" s="35"/>
      <c r="CI116" s="35"/>
      <c r="CJ116" s="35"/>
      <c r="CK116" s="35"/>
      <c r="CL116" s="35"/>
      <c r="CM116" s="35"/>
      <c r="CN116" s="35"/>
      <c r="CO116" s="35"/>
      <c r="CP116" s="35"/>
      <c r="CQ116" s="35"/>
      <c r="CR116" s="35"/>
      <c r="CS116" s="35"/>
      <c r="CT116" s="35"/>
      <c r="CU116" s="35"/>
      <c r="CV116" s="35"/>
      <c r="CW116" s="35"/>
      <c r="CX116" s="35"/>
      <c r="CY116" s="35"/>
      <c r="CZ116" s="35"/>
      <c r="DA116" s="35"/>
      <c r="DB116" s="35"/>
      <c r="DC116" s="35"/>
      <c r="DD116" s="35"/>
      <c r="DE116" s="35"/>
    </row>
    <row r="117" spans="2:109" x14ac:dyDescent="0.35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  <c r="BV117" s="35"/>
      <c r="BW117" s="35"/>
      <c r="BX117" s="35"/>
      <c r="BY117" s="35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  <c r="CN117" s="35"/>
      <c r="CO117" s="35"/>
      <c r="CP117" s="35"/>
      <c r="CQ117" s="35"/>
      <c r="CR117" s="35"/>
      <c r="CS117" s="35"/>
      <c r="CT117" s="35"/>
      <c r="CU117" s="35"/>
      <c r="CV117" s="35"/>
      <c r="CW117" s="35"/>
      <c r="CX117" s="35"/>
      <c r="CY117" s="35"/>
      <c r="CZ117" s="35"/>
      <c r="DA117" s="35"/>
      <c r="DB117" s="35"/>
      <c r="DC117" s="35"/>
      <c r="DD117" s="35"/>
      <c r="DE117" s="35"/>
    </row>
    <row r="118" spans="2:109" x14ac:dyDescent="0.35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35"/>
      <c r="BW118" s="35"/>
      <c r="BX118" s="35"/>
      <c r="BY118" s="35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  <c r="CN118" s="35"/>
      <c r="CO118" s="35"/>
      <c r="CP118" s="35"/>
      <c r="CQ118" s="35"/>
      <c r="CR118" s="35"/>
      <c r="CS118" s="35"/>
      <c r="CT118" s="35"/>
      <c r="CU118" s="35"/>
      <c r="CV118" s="35"/>
      <c r="CW118" s="35"/>
      <c r="CX118" s="35"/>
      <c r="CY118" s="35"/>
      <c r="CZ118" s="35"/>
      <c r="DA118" s="35"/>
      <c r="DB118" s="35"/>
      <c r="DC118" s="35"/>
      <c r="DD118" s="35"/>
      <c r="DE118" s="35"/>
    </row>
    <row r="119" spans="2:109" x14ac:dyDescent="0.35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5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  <c r="CN119" s="35"/>
      <c r="CO119" s="35"/>
      <c r="CP119" s="35"/>
      <c r="CQ119" s="35"/>
      <c r="CR119" s="35"/>
      <c r="CS119" s="35"/>
      <c r="CT119" s="35"/>
      <c r="CU119" s="35"/>
      <c r="CV119" s="35"/>
      <c r="CW119" s="35"/>
      <c r="CX119" s="35"/>
      <c r="CY119" s="35"/>
      <c r="CZ119" s="35"/>
      <c r="DA119" s="35"/>
      <c r="DB119" s="35"/>
      <c r="DC119" s="35"/>
      <c r="DD119" s="35"/>
      <c r="DE119" s="35"/>
    </row>
    <row r="120" spans="2:109" x14ac:dyDescent="0.35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5"/>
      <c r="CU120" s="35"/>
      <c r="CV120" s="35"/>
      <c r="CW120" s="35"/>
      <c r="CX120" s="35"/>
      <c r="CY120" s="35"/>
      <c r="CZ120" s="35"/>
      <c r="DA120" s="35"/>
      <c r="DB120" s="35"/>
      <c r="DC120" s="35"/>
      <c r="DD120" s="35"/>
      <c r="DE120" s="35"/>
    </row>
    <row r="121" spans="2:109" x14ac:dyDescent="0.35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35"/>
      <c r="CF121" s="35"/>
      <c r="CG121" s="35"/>
      <c r="CH121" s="35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  <c r="DA121" s="35"/>
      <c r="DB121" s="35"/>
      <c r="DC121" s="35"/>
      <c r="DD121" s="35"/>
      <c r="DE121" s="35"/>
    </row>
    <row r="122" spans="2:109" x14ac:dyDescent="0.35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5"/>
      <c r="CU122" s="35"/>
      <c r="CV122" s="35"/>
      <c r="CW122" s="35"/>
      <c r="CX122" s="35"/>
      <c r="CY122" s="35"/>
      <c r="CZ122" s="35"/>
      <c r="DA122" s="35"/>
      <c r="DB122" s="35"/>
      <c r="DC122" s="35"/>
      <c r="DD122" s="35"/>
      <c r="DE122" s="35"/>
    </row>
    <row r="123" spans="2:109" x14ac:dyDescent="0.35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  <c r="DA123" s="35"/>
      <c r="DB123" s="35"/>
      <c r="DC123" s="35"/>
      <c r="DD123" s="35"/>
      <c r="DE123" s="35"/>
    </row>
    <row r="124" spans="2:109" x14ac:dyDescent="0.35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  <c r="CN124" s="35"/>
      <c r="CO124" s="35"/>
      <c r="CP124" s="35"/>
      <c r="CQ124" s="35"/>
      <c r="CR124" s="35"/>
      <c r="CS124" s="35"/>
      <c r="CT124" s="35"/>
      <c r="CU124" s="35"/>
      <c r="CV124" s="35"/>
      <c r="CW124" s="35"/>
      <c r="CX124" s="35"/>
      <c r="CY124" s="35"/>
      <c r="CZ124" s="35"/>
      <c r="DA124" s="35"/>
      <c r="DB124" s="35"/>
      <c r="DC124" s="35"/>
      <c r="DD124" s="35"/>
      <c r="DE124" s="35"/>
    </row>
    <row r="125" spans="2:109" x14ac:dyDescent="0.35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35"/>
      <c r="CF125" s="35"/>
      <c r="CG125" s="35"/>
      <c r="CH125" s="35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5"/>
      <c r="CU125" s="35"/>
      <c r="CV125" s="35"/>
      <c r="CW125" s="35"/>
      <c r="CX125" s="35"/>
      <c r="CY125" s="35"/>
      <c r="CZ125" s="35"/>
      <c r="DA125" s="35"/>
      <c r="DB125" s="35"/>
      <c r="DC125" s="35"/>
      <c r="DD125" s="35"/>
      <c r="DE125" s="35"/>
    </row>
    <row r="126" spans="2:109" x14ac:dyDescent="0.35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35"/>
      <c r="CF126" s="35"/>
      <c r="CG126" s="35"/>
      <c r="CH126" s="35"/>
      <c r="CI126" s="35"/>
      <c r="CJ126" s="35"/>
      <c r="CK126" s="35"/>
      <c r="CL126" s="35"/>
      <c r="CM126" s="35"/>
      <c r="CN126" s="35"/>
      <c r="CO126" s="35"/>
      <c r="CP126" s="35"/>
      <c r="CQ126" s="35"/>
      <c r="CR126" s="35"/>
      <c r="CS126" s="35"/>
      <c r="CT126" s="35"/>
      <c r="CU126" s="35"/>
      <c r="CV126" s="35"/>
      <c r="CW126" s="35"/>
      <c r="CX126" s="35"/>
      <c r="CY126" s="35"/>
      <c r="CZ126" s="35"/>
      <c r="DA126" s="35"/>
      <c r="DB126" s="35"/>
      <c r="DC126" s="35"/>
      <c r="DD126" s="35"/>
      <c r="DE126" s="35"/>
    </row>
    <row r="127" spans="2:109" x14ac:dyDescent="0.35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35"/>
      <c r="BW127" s="35"/>
      <c r="BX127" s="35"/>
      <c r="BY127" s="35"/>
      <c r="BZ127" s="35"/>
      <c r="CA127" s="35"/>
      <c r="CB127" s="35"/>
      <c r="CC127" s="35"/>
      <c r="CD127" s="35"/>
      <c r="CE127" s="35"/>
      <c r="CF127" s="35"/>
      <c r="CG127" s="35"/>
      <c r="CH127" s="35"/>
      <c r="CI127" s="35"/>
      <c r="CJ127" s="35"/>
      <c r="CK127" s="35"/>
      <c r="CL127" s="35"/>
      <c r="CM127" s="35"/>
      <c r="CN127" s="35"/>
      <c r="CO127" s="35"/>
      <c r="CP127" s="35"/>
      <c r="CQ127" s="35"/>
      <c r="CR127" s="35"/>
      <c r="CS127" s="35"/>
      <c r="CT127" s="35"/>
      <c r="CU127" s="35"/>
      <c r="CV127" s="35"/>
      <c r="CW127" s="35"/>
      <c r="CX127" s="35"/>
      <c r="CY127" s="35"/>
      <c r="CZ127" s="35"/>
      <c r="DA127" s="35"/>
      <c r="DB127" s="35"/>
      <c r="DC127" s="35"/>
      <c r="DD127" s="35"/>
      <c r="DE127" s="35"/>
    </row>
    <row r="128" spans="2:109" x14ac:dyDescent="0.35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5"/>
      <c r="BY128" s="35"/>
      <c r="BZ128" s="35"/>
      <c r="CA128" s="35"/>
      <c r="CB128" s="35"/>
      <c r="CC128" s="35"/>
      <c r="CD128" s="35"/>
      <c r="CE128" s="35"/>
      <c r="CF128" s="35"/>
      <c r="CG128" s="35"/>
      <c r="CH128" s="35"/>
      <c r="CI128" s="35"/>
      <c r="CJ128" s="35"/>
      <c r="CK128" s="35"/>
      <c r="CL128" s="35"/>
      <c r="CM128" s="35"/>
      <c r="CN128" s="35"/>
      <c r="CO128" s="35"/>
      <c r="CP128" s="35"/>
      <c r="CQ128" s="35"/>
      <c r="CR128" s="35"/>
      <c r="CS128" s="35"/>
      <c r="CT128" s="35"/>
      <c r="CU128" s="35"/>
      <c r="CV128" s="35"/>
      <c r="CW128" s="35"/>
      <c r="CX128" s="35"/>
      <c r="CY128" s="35"/>
      <c r="CZ128" s="35"/>
      <c r="DA128" s="35"/>
      <c r="DB128" s="35"/>
      <c r="DC128" s="35"/>
      <c r="DD128" s="35"/>
      <c r="DE128" s="35"/>
    </row>
    <row r="129" spans="2:109" x14ac:dyDescent="0.35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5"/>
      <c r="BY129" s="35"/>
      <c r="BZ129" s="35"/>
      <c r="CA129" s="35"/>
      <c r="CB129" s="35"/>
      <c r="CC129" s="35"/>
      <c r="CD129" s="35"/>
      <c r="CE129" s="35"/>
      <c r="CF129" s="35"/>
      <c r="CG129" s="35"/>
      <c r="CH129" s="35"/>
      <c r="CI129" s="35"/>
      <c r="CJ129" s="35"/>
      <c r="CK129" s="35"/>
      <c r="CL129" s="35"/>
      <c r="CM129" s="35"/>
      <c r="CN129" s="35"/>
      <c r="CO129" s="35"/>
      <c r="CP129" s="35"/>
      <c r="CQ129" s="35"/>
      <c r="CR129" s="35"/>
      <c r="CS129" s="35"/>
      <c r="CT129" s="35"/>
      <c r="CU129" s="35"/>
      <c r="CV129" s="35"/>
      <c r="CW129" s="35"/>
      <c r="CX129" s="35"/>
      <c r="CY129" s="35"/>
      <c r="CZ129" s="35"/>
      <c r="DA129" s="35"/>
      <c r="DB129" s="35"/>
      <c r="DC129" s="35"/>
      <c r="DD129" s="35"/>
      <c r="DE129" s="35"/>
    </row>
    <row r="130" spans="2:109" x14ac:dyDescent="0.35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5"/>
      <c r="BY130" s="35"/>
      <c r="BZ130" s="35"/>
      <c r="CA130" s="35"/>
      <c r="CB130" s="35"/>
      <c r="CC130" s="35"/>
      <c r="CD130" s="35"/>
      <c r="CE130" s="35"/>
      <c r="CF130" s="35"/>
      <c r="CG130" s="35"/>
      <c r="CH130" s="35"/>
      <c r="CI130" s="35"/>
      <c r="CJ130" s="35"/>
      <c r="CK130" s="35"/>
      <c r="CL130" s="35"/>
      <c r="CM130" s="35"/>
      <c r="CN130" s="35"/>
      <c r="CO130" s="35"/>
      <c r="CP130" s="35"/>
      <c r="CQ130" s="35"/>
      <c r="CR130" s="35"/>
      <c r="CS130" s="35"/>
      <c r="CT130" s="35"/>
      <c r="CU130" s="35"/>
      <c r="CV130" s="35"/>
      <c r="CW130" s="35"/>
      <c r="CX130" s="35"/>
      <c r="CY130" s="35"/>
      <c r="CZ130" s="35"/>
      <c r="DA130" s="35"/>
      <c r="DB130" s="35"/>
      <c r="DC130" s="35"/>
      <c r="DD130" s="35"/>
      <c r="DE130" s="35"/>
    </row>
    <row r="131" spans="2:109" x14ac:dyDescent="0.35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</row>
    <row r="132" spans="2:109" x14ac:dyDescent="0.35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5"/>
      <c r="BY132" s="35"/>
      <c r="BZ132" s="35"/>
      <c r="CA132" s="35"/>
      <c r="CB132" s="35"/>
      <c r="CC132" s="35"/>
      <c r="CD132" s="35"/>
      <c r="CE132" s="35"/>
      <c r="CF132" s="35"/>
      <c r="CG132" s="35"/>
      <c r="CH132" s="35"/>
      <c r="CI132" s="35"/>
      <c r="CJ132" s="35"/>
      <c r="CK132" s="35"/>
      <c r="CL132" s="35"/>
      <c r="CM132" s="35"/>
      <c r="CN132" s="35"/>
      <c r="CO132" s="35"/>
      <c r="CP132" s="35"/>
      <c r="CQ132" s="35"/>
      <c r="CR132" s="35"/>
      <c r="CS132" s="35"/>
      <c r="CT132" s="35"/>
      <c r="CU132" s="35"/>
      <c r="CV132" s="35"/>
      <c r="CW132" s="35"/>
      <c r="CX132" s="35"/>
      <c r="CY132" s="35"/>
      <c r="CZ132" s="35"/>
      <c r="DA132" s="35"/>
      <c r="DB132" s="35"/>
      <c r="DC132" s="35"/>
      <c r="DD132" s="35"/>
      <c r="DE132" s="35"/>
    </row>
    <row r="133" spans="2:109" x14ac:dyDescent="0.35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5"/>
      <c r="BY133" s="35"/>
      <c r="BZ133" s="35"/>
      <c r="CA133" s="35"/>
      <c r="CB133" s="35"/>
      <c r="CC133" s="35"/>
      <c r="CD133" s="35"/>
      <c r="CE133" s="35"/>
      <c r="CF133" s="35"/>
      <c r="CG133" s="35"/>
      <c r="CH133" s="35"/>
      <c r="CI133" s="35"/>
      <c r="CJ133" s="35"/>
      <c r="CK133" s="35"/>
      <c r="CL133" s="35"/>
      <c r="CM133" s="35"/>
      <c r="CN133" s="35"/>
      <c r="CO133" s="35"/>
      <c r="CP133" s="35"/>
      <c r="CQ133" s="35"/>
      <c r="CR133" s="35"/>
      <c r="CS133" s="35"/>
      <c r="CT133" s="35"/>
      <c r="CU133" s="35"/>
      <c r="CV133" s="35"/>
      <c r="CW133" s="35"/>
      <c r="CX133" s="35"/>
      <c r="CY133" s="35"/>
      <c r="CZ133" s="35"/>
      <c r="DA133" s="35"/>
      <c r="DB133" s="35"/>
      <c r="DC133" s="35"/>
      <c r="DD133" s="35"/>
      <c r="DE133" s="35"/>
    </row>
    <row r="134" spans="2:109" x14ac:dyDescent="0.35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5"/>
      <c r="BY134" s="35"/>
      <c r="BZ134" s="35"/>
      <c r="CA134" s="35"/>
      <c r="CB134" s="35"/>
      <c r="CC134" s="35"/>
      <c r="CD134" s="35"/>
      <c r="CE134" s="35"/>
      <c r="CF134" s="35"/>
      <c r="CG134" s="35"/>
      <c r="CH134" s="35"/>
      <c r="CI134" s="35"/>
      <c r="CJ134" s="35"/>
      <c r="CK134" s="35"/>
      <c r="CL134" s="35"/>
      <c r="CM134" s="35"/>
      <c r="CN134" s="35"/>
      <c r="CO134" s="35"/>
      <c r="CP134" s="35"/>
      <c r="CQ134" s="35"/>
      <c r="CR134" s="35"/>
      <c r="CS134" s="35"/>
      <c r="CT134" s="35"/>
      <c r="CU134" s="35"/>
      <c r="CV134" s="35"/>
      <c r="CW134" s="35"/>
      <c r="CX134" s="35"/>
      <c r="CY134" s="35"/>
      <c r="CZ134" s="35"/>
      <c r="DA134" s="35"/>
      <c r="DB134" s="35"/>
      <c r="DC134" s="35"/>
      <c r="DD134" s="35"/>
      <c r="DE134" s="35"/>
    </row>
    <row r="135" spans="2:109" x14ac:dyDescent="0.35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35"/>
      <c r="BW135" s="35"/>
      <c r="BX135" s="35"/>
      <c r="BY135" s="35"/>
      <c r="BZ135" s="35"/>
      <c r="CA135" s="35"/>
      <c r="CB135" s="35"/>
      <c r="CC135" s="35"/>
      <c r="CD135" s="35"/>
      <c r="CE135" s="35"/>
      <c r="CF135" s="35"/>
      <c r="CG135" s="35"/>
      <c r="CH135" s="35"/>
      <c r="CI135" s="35"/>
      <c r="CJ135" s="35"/>
      <c r="CK135" s="35"/>
      <c r="CL135" s="35"/>
      <c r="CM135" s="35"/>
      <c r="CN135" s="35"/>
      <c r="CO135" s="35"/>
      <c r="CP135" s="35"/>
      <c r="CQ135" s="35"/>
      <c r="CR135" s="35"/>
      <c r="CS135" s="35"/>
      <c r="CT135" s="35"/>
      <c r="CU135" s="35"/>
      <c r="CV135" s="35"/>
      <c r="CW135" s="35"/>
      <c r="CX135" s="35"/>
      <c r="CY135" s="35"/>
      <c r="CZ135" s="35"/>
      <c r="DA135" s="35"/>
      <c r="DB135" s="35"/>
      <c r="DC135" s="35"/>
      <c r="DD135" s="35"/>
      <c r="DE135" s="35"/>
    </row>
    <row r="136" spans="2:109" x14ac:dyDescent="0.35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35"/>
      <c r="BW136" s="35"/>
      <c r="BX136" s="35"/>
      <c r="BY136" s="35"/>
      <c r="BZ136" s="35"/>
      <c r="CA136" s="35"/>
      <c r="CB136" s="35"/>
      <c r="CC136" s="35"/>
      <c r="CD136" s="35"/>
      <c r="CE136" s="35"/>
      <c r="CF136" s="35"/>
      <c r="CG136" s="35"/>
      <c r="CH136" s="35"/>
      <c r="CI136" s="35"/>
      <c r="CJ136" s="35"/>
      <c r="CK136" s="35"/>
      <c r="CL136" s="35"/>
      <c r="CM136" s="35"/>
      <c r="CN136" s="35"/>
      <c r="CO136" s="35"/>
      <c r="CP136" s="35"/>
      <c r="CQ136" s="35"/>
      <c r="CR136" s="35"/>
      <c r="CS136" s="35"/>
      <c r="CT136" s="35"/>
      <c r="CU136" s="35"/>
      <c r="CV136" s="35"/>
      <c r="CW136" s="35"/>
      <c r="CX136" s="35"/>
      <c r="CY136" s="35"/>
      <c r="CZ136" s="35"/>
      <c r="DA136" s="35"/>
      <c r="DB136" s="35"/>
      <c r="DC136" s="35"/>
      <c r="DD136" s="35"/>
      <c r="DE136" s="35"/>
    </row>
    <row r="137" spans="2:109" x14ac:dyDescent="0.35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5"/>
      <c r="BY137" s="35"/>
      <c r="BZ137" s="35"/>
      <c r="CA137" s="35"/>
      <c r="CB137" s="35"/>
      <c r="CC137" s="35"/>
      <c r="CD137" s="35"/>
      <c r="CE137" s="35"/>
      <c r="CF137" s="35"/>
      <c r="CG137" s="35"/>
      <c r="CH137" s="35"/>
      <c r="CI137" s="35"/>
      <c r="CJ137" s="35"/>
      <c r="CK137" s="35"/>
      <c r="CL137" s="35"/>
      <c r="CM137" s="35"/>
      <c r="CN137" s="35"/>
      <c r="CO137" s="35"/>
      <c r="CP137" s="35"/>
      <c r="CQ137" s="35"/>
      <c r="CR137" s="35"/>
      <c r="CS137" s="35"/>
      <c r="CT137" s="35"/>
      <c r="CU137" s="35"/>
      <c r="CV137" s="35"/>
      <c r="CW137" s="35"/>
      <c r="CX137" s="35"/>
      <c r="CY137" s="35"/>
      <c r="CZ137" s="35"/>
      <c r="DA137" s="35"/>
      <c r="DB137" s="35"/>
      <c r="DC137" s="35"/>
      <c r="DD137" s="35"/>
      <c r="DE137" s="35"/>
    </row>
    <row r="138" spans="2:109" x14ac:dyDescent="0.35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5"/>
      <c r="BY138" s="35"/>
      <c r="BZ138" s="35"/>
      <c r="CA138" s="35"/>
      <c r="CB138" s="35"/>
      <c r="CC138" s="35"/>
      <c r="CD138" s="35"/>
      <c r="CE138" s="35"/>
      <c r="CF138" s="35"/>
      <c r="CG138" s="35"/>
      <c r="CH138" s="35"/>
      <c r="CI138" s="35"/>
      <c r="CJ138" s="35"/>
      <c r="CK138" s="35"/>
      <c r="CL138" s="35"/>
      <c r="CM138" s="35"/>
      <c r="CN138" s="35"/>
      <c r="CO138" s="35"/>
      <c r="CP138" s="35"/>
      <c r="CQ138" s="35"/>
      <c r="CR138" s="35"/>
      <c r="CS138" s="35"/>
      <c r="CT138" s="35"/>
      <c r="CU138" s="35"/>
      <c r="CV138" s="35"/>
      <c r="CW138" s="35"/>
      <c r="CX138" s="35"/>
      <c r="CY138" s="35"/>
      <c r="CZ138" s="35"/>
      <c r="DA138" s="35"/>
      <c r="DB138" s="35"/>
      <c r="DC138" s="35"/>
      <c r="DD138" s="35"/>
      <c r="DE138" s="35"/>
    </row>
    <row r="139" spans="2:109" x14ac:dyDescent="0.35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35"/>
      <c r="CF139" s="35"/>
      <c r="CG139" s="35"/>
      <c r="CH139" s="35"/>
      <c r="CI139" s="35"/>
      <c r="CJ139" s="35"/>
      <c r="CK139" s="35"/>
      <c r="CL139" s="35"/>
      <c r="CM139" s="35"/>
      <c r="CN139" s="35"/>
      <c r="CO139" s="35"/>
      <c r="CP139" s="35"/>
      <c r="CQ139" s="35"/>
      <c r="CR139" s="35"/>
      <c r="CS139" s="35"/>
      <c r="CT139" s="35"/>
      <c r="CU139" s="35"/>
      <c r="CV139" s="35"/>
      <c r="CW139" s="35"/>
      <c r="CX139" s="35"/>
      <c r="CY139" s="35"/>
      <c r="CZ139" s="35"/>
      <c r="DA139" s="35"/>
      <c r="DB139" s="35"/>
      <c r="DC139" s="35"/>
      <c r="DD139" s="35"/>
      <c r="DE139" s="35"/>
    </row>
    <row r="140" spans="2:109" x14ac:dyDescent="0.35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  <c r="BV140" s="35"/>
      <c r="BW140" s="35"/>
      <c r="BX140" s="35"/>
      <c r="BY140" s="35"/>
      <c r="BZ140" s="35"/>
      <c r="CA140" s="35"/>
      <c r="CB140" s="35"/>
      <c r="CC140" s="35"/>
      <c r="CD140" s="35"/>
      <c r="CE140" s="35"/>
      <c r="CF140" s="35"/>
      <c r="CG140" s="35"/>
      <c r="CH140" s="35"/>
      <c r="CI140" s="35"/>
      <c r="CJ140" s="35"/>
      <c r="CK140" s="35"/>
      <c r="CL140" s="35"/>
      <c r="CM140" s="35"/>
      <c r="CN140" s="35"/>
      <c r="CO140" s="35"/>
      <c r="CP140" s="35"/>
      <c r="CQ140" s="35"/>
      <c r="CR140" s="35"/>
      <c r="CS140" s="35"/>
      <c r="CT140" s="35"/>
      <c r="CU140" s="35"/>
      <c r="CV140" s="35"/>
      <c r="CW140" s="35"/>
      <c r="CX140" s="35"/>
      <c r="CY140" s="35"/>
      <c r="CZ140" s="35"/>
      <c r="DA140" s="35"/>
      <c r="DB140" s="35"/>
      <c r="DC140" s="35"/>
      <c r="DD140" s="35"/>
      <c r="DE140" s="35"/>
    </row>
    <row r="141" spans="2:109" x14ac:dyDescent="0.35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/>
      <c r="BE141" s="35"/>
      <c r="BF141" s="35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35"/>
      <c r="BW141" s="35"/>
      <c r="BX141" s="35"/>
      <c r="BY141" s="35"/>
      <c r="BZ141" s="35"/>
      <c r="CA141" s="35"/>
      <c r="CB141" s="35"/>
      <c r="CC141" s="35"/>
      <c r="CD141" s="35"/>
      <c r="CE141" s="35"/>
      <c r="CF141" s="35"/>
      <c r="CG141" s="35"/>
      <c r="CH141" s="35"/>
      <c r="CI141" s="35"/>
      <c r="CJ141" s="35"/>
      <c r="CK141" s="35"/>
      <c r="CL141" s="35"/>
      <c r="CM141" s="35"/>
      <c r="CN141" s="35"/>
      <c r="CO141" s="35"/>
      <c r="CP141" s="35"/>
      <c r="CQ141" s="35"/>
      <c r="CR141" s="35"/>
      <c r="CS141" s="35"/>
      <c r="CT141" s="35"/>
      <c r="CU141" s="35"/>
      <c r="CV141" s="35"/>
      <c r="CW141" s="35"/>
      <c r="CX141" s="35"/>
      <c r="CY141" s="35"/>
      <c r="CZ141" s="35"/>
      <c r="DA141" s="35"/>
      <c r="DB141" s="35"/>
      <c r="DC141" s="35"/>
      <c r="DD141" s="35"/>
      <c r="DE141" s="35"/>
    </row>
    <row r="142" spans="2:109" x14ac:dyDescent="0.35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35"/>
      <c r="BW142" s="35"/>
      <c r="BX142" s="35"/>
      <c r="BY142" s="35"/>
      <c r="BZ142" s="35"/>
      <c r="CA142" s="35"/>
      <c r="CB142" s="35"/>
      <c r="CC142" s="35"/>
      <c r="CD142" s="35"/>
      <c r="CE142" s="35"/>
      <c r="CF142" s="35"/>
      <c r="CG142" s="35"/>
      <c r="CH142" s="35"/>
      <c r="CI142" s="35"/>
      <c r="CJ142" s="35"/>
      <c r="CK142" s="35"/>
      <c r="CL142" s="35"/>
      <c r="CM142" s="35"/>
      <c r="CN142" s="35"/>
      <c r="CO142" s="35"/>
      <c r="CP142" s="35"/>
      <c r="CQ142" s="35"/>
      <c r="CR142" s="35"/>
      <c r="CS142" s="35"/>
      <c r="CT142" s="35"/>
      <c r="CU142" s="35"/>
      <c r="CV142" s="35"/>
      <c r="CW142" s="35"/>
      <c r="CX142" s="35"/>
      <c r="CY142" s="35"/>
      <c r="CZ142" s="35"/>
      <c r="DA142" s="35"/>
      <c r="DB142" s="35"/>
      <c r="DC142" s="35"/>
      <c r="DD142" s="35"/>
      <c r="DE142" s="35"/>
    </row>
    <row r="143" spans="2:109" x14ac:dyDescent="0.35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</row>
    <row r="144" spans="2:109" x14ac:dyDescent="0.35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35"/>
      <c r="BW144" s="35"/>
      <c r="BX144" s="35"/>
      <c r="BY144" s="35"/>
      <c r="BZ144" s="35"/>
      <c r="CA144" s="35"/>
      <c r="CB144" s="35"/>
      <c r="CC144" s="35"/>
      <c r="CD144" s="35"/>
      <c r="CE144" s="35"/>
      <c r="CF144" s="35"/>
      <c r="CG144" s="35"/>
      <c r="CH144" s="35"/>
      <c r="CI144" s="35"/>
      <c r="CJ144" s="35"/>
      <c r="CK144" s="35"/>
      <c r="CL144" s="35"/>
      <c r="CM144" s="35"/>
      <c r="CN144" s="35"/>
      <c r="CO144" s="35"/>
      <c r="CP144" s="35"/>
      <c r="CQ144" s="35"/>
      <c r="CR144" s="35"/>
      <c r="CS144" s="35"/>
      <c r="CT144" s="35"/>
      <c r="CU144" s="35"/>
      <c r="CV144" s="35"/>
      <c r="CW144" s="35"/>
      <c r="CX144" s="35"/>
      <c r="CY144" s="35"/>
      <c r="CZ144" s="35"/>
      <c r="DA144" s="35"/>
      <c r="DB144" s="35"/>
      <c r="DC144" s="35"/>
      <c r="DD144" s="35"/>
      <c r="DE144" s="35"/>
    </row>
    <row r="145" spans="2:109" x14ac:dyDescent="0.35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35"/>
      <c r="CF145" s="35"/>
      <c r="CG145" s="35"/>
      <c r="CH145" s="35"/>
      <c r="CI145" s="35"/>
      <c r="CJ145" s="35"/>
      <c r="CK145" s="35"/>
      <c r="CL145" s="35"/>
      <c r="CM145" s="35"/>
      <c r="CN145" s="35"/>
      <c r="CO145" s="35"/>
      <c r="CP145" s="35"/>
      <c r="CQ145" s="35"/>
      <c r="CR145" s="35"/>
      <c r="CS145" s="35"/>
      <c r="CT145" s="35"/>
      <c r="CU145" s="35"/>
      <c r="CV145" s="35"/>
      <c r="CW145" s="35"/>
      <c r="CX145" s="35"/>
      <c r="CY145" s="35"/>
      <c r="CZ145" s="35"/>
      <c r="DA145" s="35"/>
      <c r="DB145" s="35"/>
      <c r="DC145" s="35"/>
      <c r="DD145" s="35"/>
      <c r="DE145" s="35"/>
    </row>
    <row r="146" spans="2:109" x14ac:dyDescent="0.35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  <c r="BV146" s="35"/>
      <c r="BW146" s="35"/>
      <c r="BX146" s="35"/>
      <c r="BY146" s="35"/>
      <c r="BZ146" s="35"/>
      <c r="CA146" s="35"/>
      <c r="CB146" s="35"/>
      <c r="CC146" s="35"/>
      <c r="CD146" s="35"/>
      <c r="CE146" s="35"/>
      <c r="CF146" s="35"/>
      <c r="CG146" s="35"/>
      <c r="CH146" s="35"/>
      <c r="CI146" s="35"/>
      <c r="CJ146" s="35"/>
      <c r="CK146" s="35"/>
      <c r="CL146" s="35"/>
      <c r="CM146" s="35"/>
      <c r="CN146" s="35"/>
      <c r="CO146" s="35"/>
      <c r="CP146" s="35"/>
      <c r="CQ146" s="35"/>
      <c r="CR146" s="35"/>
      <c r="CS146" s="35"/>
      <c r="CT146" s="35"/>
      <c r="CU146" s="35"/>
      <c r="CV146" s="35"/>
      <c r="CW146" s="35"/>
      <c r="CX146" s="35"/>
      <c r="CY146" s="35"/>
      <c r="CZ146" s="35"/>
      <c r="DA146" s="35"/>
      <c r="DB146" s="35"/>
      <c r="DC146" s="35"/>
      <c r="DD146" s="35"/>
      <c r="DE146" s="35"/>
    </row>
    <row r="147" spans="2:109" x14ac:dyDescent="0.35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/>
      <c r="BE147" s="35"/>
      <c r="BF147" s="35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35"/>
      <c r="BU147" s="35"/>
      <c r="BV147" s="35"/>
      <c r="BW147" s="35"/>
      <c r="BX147" s="35"/>
      <c r="BY147" s="35"/>
      <c r="BZ147" s="35"/>
      <c r="CA147" s="35"/>
      <c r="CB147" s="35"/>
      <c r="CC147" s="35"/>
      <c r="CD147" s="35"/>
      <c r="CE147" s="35"/>
      <c r="CF147" s="35"/>
      <c r="CG147" s="35"/>
      <c r="CH147" s="35"/>
      <c r="CI147" s="35"/>
      <c r="CJ147" s="35"/>
      <c r="CK147" s="35"/>
      <c r="CL147" s="35"/>
      <c r="CM147" s="35"/>
      <c r="CN147" s="35"/>
      <c r="CO147" s="35"/>
      <c r="CP147" s="35"/>
      <c r="CQ147" s="35"/>
      <c r="CR147" s="35"/>
      <c r="CS147" s="35"/>
      <c r="CT147" s="35"/>
      <c r="CU147" s="35"/>
      <c r="CV147" s="35"/>
      <c r="CW147" s="35"/>
      <c r="CX147" s="35"/>
      <c r="CY147" s="35"/>
      <c r="CZ147" s="35"/>
      <c r="DA147" s="35"/>
      <c r="DB147" s="35"/>
      <c r="DC147" s="35"/>
      <c r="DD147" s="35"/>
      <c r="DE147" s="35"/>
    </row>
    <row r="148" spans="2:109" x14ac:dyDescent="0.35"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</row>
    <row r="149" spans="2:109" x14ac:dyDescent="0.35"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</row>
  </sheetData>
  <sheetProtection algorithmName="SHA-512" hashValue="R2TWzCQwej2XlG6NZLFfukssJZSrJ0kXLiyZGKfcI/Qy/DJ9UDZnXS13eYMGIxO8VvHgxAx6u/xMuQDY7L1Srw==" saltValue="toBGB3I+W1NHQmsJ/1YrHg==" spinCount="100000" sheet="1" objects="1" scenarios="1"/>
  <protectedRanges>
    <protectedRange sqref="K7:Q10 K12 AB11" name="Input"/>
  </protectedRanges>
  <mergeCells count="201">
    <mergeCell ref="AB8:AH8"/>
    <mergeCell ref="AB11:AH11"/>
    <mergeCell ref="AB9:AH9"/>
    <mergeCell ref="AN10:AW10"/>
    <mergeCell ref="AN11:AW11"/>
    <mergeCell ref="CO9:CU9"/>
    <mergeCell ref="CO10:CU10"/>
    <mergeCell ref="CO11:CU11"/>
    <mergeCell ref="BP7:BS7"/>
    <mergeCell ref="BP8:BS8"/>
    <mergeCell ref="BP9:BS9"/>
    <mergeCell ref="BP10:BS10"/>
    <mergeCell ref="BP11:BS11"/>
    <mergeCell ref="K8:Q8"/>
    <mergeCell ref="CS2:CX2"/>
    <mergeCell ref="AK2:AQ2"/>
    <mergeCell ref="BI2:BO2"/>
    <mergeCell ref="BP2:CF2"/>
    <mergeCell ref="CE12:CK12"/>
    <mergeCell ref="CE11:CK11"/>
    <mergeCell ref="CE10:CK10"/>
    <mergeCell ref="CE9:CK9"/>
    <mergeCell ref="CE8:CK8"/>
    <mergeCell ref="CE7:CK7"/>
    <mergeCell ref="AN4:BS5"/>
    <mergeCell ref="BX4:DC5"/>
    <mergeCell ref="CY2:DD2"/>
    <mergeCell ref="CV11:DB11"/>
    <mergeCell ref="CV12:DB12"/>
    <mergeCell ref="CV7:DB7"/>
    <mergeCell ref="BX12:CD12"/>
    <mergeCell ref="CO7:CU7"/>
    <mergeCell ref="CO8:CU8"/>
    <mergeCell ref="K7:Q7"/>
    <mergeCell ref="CV8:DB8"/>
    <mergeCell ref="CV9:DB9"/>
    <mergeCell ref="CV10:DB10"/>
    <mergeCell ref="CO12:CU12"/>
    <mergeCell ref="BX7:CD7"/>
    <mergeCell ref="BX8:CD8"/>
    <mergeCell ref="BX9:CD9"/>
    <mergeCell ref="BX10:CD10"/>
    <mergeCell ref="BX11:CD11"/>
    <mergeCell ref="AN14:AT14"/>
    <mergeCell ref="AN12:AW12"/>
    <mergeCell ref="C2:H2"/>
    <mergeCell ref="I2:L2"/>
    <mergeCell ref="D4:AI5"/>
    <mergeCell ref="AN7:AT7"/>
    <mergeCell ref="AN8:AW8"/>
    <mergeCell ref="AN9:AW9"/>
    <mergeCell ref="D7:J7"/>
    <mergeCell ref="U12:AA12"/>
    <mergeCell ref="K12:Q12"/>
    <mergeCell ref="K10:Q10"/>
    <mergeCell ref="K9:Q9"/>
    <mergeCell ref="U11:AA11"/>
    <mergeCell ref="U9:AA9"/>
    <mergeCell ref="U8:AA8"/>
    <mergeCell ref="U7:AA7"/>
    <mergeCell ref="D12:J12"/>
    <mergeCell ref="D10:J10"/>
    <mergeCell ref="D9:J9"/>
    <mergeCell ref="D8:J8"/>
    <mergeCell ref="AD2:AJ2"/>
    <mergeCell ref="AB7:AH7"/>
    <mergeCell ref="AB12:AH12"/>
    <mergeCell ref="BG8:BI8"/>
    <mergeCell ref="BJ8:BL8"/>
    <mergeCell ref="BM8:BO8"/>
    <mergeCell ref="AX8:BF8"/>
    <mergeCell ref="AX9:BF9"/>
    <mergeCell ref="AX10:BF10"/>
    <mergeCell ref="AX11:BF11"/>
    <mergeCell ref="BG7:BI7"/>
    <mergeCell ref="BG9:BI9"/>
    <mergeCell ref="BG10:BI10"/>
    <mergeCell ref="BG11:BI11"/>
    <mergeCell ref="BJ7:BL7"/>
    <mergeCell ref="BM7:BO7"/>
    <mergeCell ref="BJ9:BL9"/>
    <mergeCell ref="BM9:BO9"/>
    <mergeCell ref="AX12:BF12"/>
    <mergeCell ref="BJ10:BL10"/>
    <mergeCell ref="BM10:BO10"/>
    <mergeCell ref="BP12:BS12"/>
    <mergeCell ref="BG14:BI14"/>
    <mergeCell ref="BJ14:BL14"/>
    <mergeCell ref="BM14:BO14"/>
    <mergeCell ref="BP14:BS14"/>
    <mergeCell ref="BM11:BO11"/>
    <mergeCell ref="BG12:BI12"/>
    <mergeCell ref="BJ12:BL12"/>
    <mergeCell ref="BM12:BO12"/>
    <mergeCell ref="BJ11:BL11"/>
    <mergeCell ref="BG16:BI16"/>
    <mergeCell ref="BJ16:BL16"/>
    <mergeCell ref="BM16:BO16"/>
    <mergeCell ref="BP16:BS16"/>
    <mergeCell ref="AN15:AW15"/>
    <mergeCell ref="AX15:BF15"/>
    <mergeCell ref="BG15:BI15"/>
    <mergeCell ref="BJ15:BL15"/>
    <mergeCell ref="BM15:BO15"/>
    <mergeCell ref="BP19:BS19"/>
    <mergeCell ref="U10:AA10"/>
    <mergeCell ref="AB10:AH10"/>
    <mergeCell ref="D25:BS26"/>
    <mergeCell ref="AN19:AW19"/>
    <mergeCell ref="AX19:BF19"/>
    <mergeCell ref="BG19:BI19"/>
    <mergeCell ref="BJ19:BL19"/>
    <mergeCell ref="BM19:BO19"/>
    <mergeCell ref="BP17:BS17"/>
    <mergeCell ref="AN18:AW18"/>
    <mergeCell ref="AX18:BF18"/>
    <mergeCell ref="BG18:BI18"/>
    <mergeCell ref="BJ18:BL18"/>
    <mergeCell ref="BM18:BO18"/>
    <mergeCell ref="BP18:BS18"/>
    <mergeCell ref="AN17:AW17"/>
    <mergeCell ref="AX17:BF17"/>
    <mergeCell ref="BG17:BI17"/>
    <mergeCell ref="BJ17:BL17"/>
    <mergeCell ref="BM17:BO17"/>
    <mergeCell ref="BP15:BS15"/>
    <mergeCell ref="AN16:AW16"/>
    <mergeCell ref="AX16:BF16"/>
    <mergeCell ref="E37:K37"/>
    <mergeCell ref="L37:R37"/>
    <mergeCell ref="E39:K39"/>
    <mergeCell ref="L39:R39"/>
    <mergeCell ref="E41:K41"/>
    <mergeCell ref="L41:R41"/>
    <mergeCell ref="E31:K31"/>
    <mergeCell ref="L31:R31"/>
    <mergeCell ref="E33:K33"/>
    <mergeCell ref="L33:R33"/>
    <mergeCell ref="E35:K35"/>
    <mergeCell ref="L35:R35"/>
    <mergeCell ref="BB30:BG30"/>
    <mergeCell ref="W32:AC32"/>
    <mergeCell ref="W33:AC33"/>
    <mergeCell ref="W34:AC34"/>
    <mergeCell ref="W35:AC35"/>
    <mergeCell ref="AD30:AI30"/>
    <mergeCell ref="W28:BS28"/>
    <mergeCell ref="W29:AC29"/>
    <mergeCell ref="AD29:BS29"/>
    <mergeCell ref="W31:AC31"/>
    <mergeCell ref="BH30:BM30"/>
    <mergeCell ref="BN30:BS30"/>
    <mergeCell ref="BB31:BG31"/>
    <mergeCell ref="BH31:BM31"/>
    <mergeCell ref="BN31:BS31"/>
    <mergeCell ref="W36:X36"/>
    <mergeCell ref="Y36:AB36"/>
    <mergeCell ref="AC36:AD36"/>
    <mergeCell ref="AE36:AH36"/>
    <mergeCell ref="AI36:AJ36"/>
    <mergeCell ref="E29:R29"/>
    <mergeCell ref="AJ30:AO30"/>
    <mergeCell ref="AP30:AU30"/>
    <mergeCell ref="AV30:BA30"/>
    <mergeCell ref="AK36:AN36"/>
    <mergeCell ref="AD31:AI31"/>
    <mergeCell ref="AJ31:AO31"/>
    <mergeCell ref="AP31:AU31"/>
    <mergeCell ref="AV31:BA31"/>
    <mergeCell ref="AD32:AI32"/>
    <mergeCell ref="AJ32:AO32"/>
    <mergeCell ref="AP32:AU32"/>
    <mergeCell ref="AV32:BA32"/>
    <mergeCell ref="AD34:AI34"/>
    <mergeCell ref="AJ34:AO34"/>
    <mergeCell ref="AP34:AU34"/>
    <mergeCell ref="AV34:BA34"/>
    <mergeCell ref="BX25:DC26"/>
    <mergeCell ref="W30:AC30"/>
    <mergeCell ref="BX28:CD28"/>
    <mergeCell ref="BX37:CD37"/>
    <mergeCell ref="BB34:BG34"/>
    <mergeCell ref="BH34:BM34"/>
    <mergeCell ref="BN34:BS34"/>
    <mergeCell ref="AD35:AI35"/>
    <mergeCell ref="AJ35:AO35"/>
    <mergeCell ref="AP35:AU35"/>
    <mergeCell ref="AV35:BA35"/>
    <mergeCell ref="BB35:BG35"/>
    <mergeCell ref="BH35:BM35"/>
    <mergeCell ref="BN35:BS35"/>
    <mergeCell ref="BB32:BG32"/>
    <mergeCell ref="BH32:BM32"/>
    <mergeCell ref="BN32:BS32"/>
    <mergeCell ref="AD33:AI33"/>
    <mergeCell ref="AJ33:AO33"/>
    <mergeCell ref="AP33:AU33"/>
    <mergeCell ref="AV33:BA33"/>
    <mergeCell ref="BB33:BG33"/>
    <mergeCell ref="BH33:BM33"/>
    <mergeCell ref="BN33:BS33"/>
  </mergeCells>
  <dataValidations count="7">
    <dataValidation type="list" allowBlank="1" showInputMessage="1" showErrorMessage="1" sqref="K7" xr:uid="{DAC32270-D9AA-41D7-8F3A-0ECA5C0DED51}">
      <formula1>"CALL,PUT"</formula1>
    </dataValidation>
    <dataValidation type="decimal" operator="greaterThan" allowBlank="1" showInputMessage="1" showErrorMessage="1" sqref="K8" xr:uid="{44A264EE-9157-4289-8362-D7C695400EF9}">
      <formula1>0</formula1>
    </dataValidation>
    <dataValidation type="whole" operator="greaterThanOrEqual" allowBlank="1" showInputMessage="1" showErrorMessage="1" sqref="K10" xr:uid="{ECDEA99B-C7B8-461B-B205-04ABECB4A9EC}">
      <formula1>100</formula1>
    </dataValidation>
    <dataValidation type="decimal" operator="lessThanOrEqual" allowBlank="1" showInputMessage="1" showErrorMessage="1" sqref="K12" xr:uid="{6D764CF0-F675-418A-A339-5E86216822C2}">
      <formula1>CY2</formula1>
    </dataValidation>
    <dataValidation type="date" operator="greaterThanOrEqual" allowBlank="1" showInputMessage="1" showErrorMessage="1" sqref="K9" xr:uid="{4B60D939-22E8-4171-AE72-CA8AC38BA4AC}">
      <formula1>AK2</formula1>
    </dataValidation>
    <dataValidation type="decimal" operator="greaterThanOrEqual" allowBlank="1" showInputMessage="1" showErrorMessage="1" sqref="AB12:AH12" xr:uid="{0BDC62EE-8D0B-4B6C-A0B6-1CFF9986D594}">
      <formula1>0</formula1>
    </dataValidation>
    <dataValidation type="list" allowBlank="1" showInputMessage="1" showErrorMessage="1" sqref="AB11:AH11" xr:uid="{8DE12267-E09B-441A-BA99-A7FA338D63A2}">
      <formula1>"BSM,CRR"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73B2D-C84E-4705-87D9-F7631F0B2BB0}">
  <sheetPr codeName="Sheet2">
    <tabColor rgb="FF0070C0"/>
  </sheetPr>
  <dimension ref="A1:A2"/>
  <sheetViews>
    <sheetView showGridLines="0" workbookViewId="0"/>
  </sheetViews>
  <sheetFormatPr defaultRowHeight="14.4" x14ac:dyDescent="0.3"/>
  <cols>
    <col min="1" max="1" width="13.6640625" bestFit="1" customWidth="1"/>
  </cols>
  <sheetData>
    <row r="1" spans="1:1" x14ac:dyDescent="0.3">
      <c r="A1" t="s">
        <v>41</v>
      </c>
    </row>
    <row r="2" spans="1:1" x14ac:dyDescent="0.3">
      <c r="A2" s="2" t="s">
        <v>126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A5621-0012-48A7-9F27-4FA1790C84B0}">
  <sheetPr codeName="Sheet3">
    <tabColor rgb="FF0070C0"/>
  </sheetPr>
  <dimension ref="A1:B9"/>
  <sheetViews>
    <sheetView showGridLines="0" workbookViewId="0"/>
  </sheetViews>
  <sheetFormatPr defaultRowHeight="14.4" x14ac:dyDescent="0.3"/>
  <cols>
    <col min="1" max="1" width="13.6640625" bestFit="1" customWidth="1"/>
    <col min="2" max="2" width="13.77734375" bestFit="1" customWidth="1"/>
  </cols>
  <sheetData>
    <row r="1" spans="1:2" x14ac:dyDescent="0.3">
      <c r="A1" t="s">
        <v>7</v>
      </c>
      <c r="B1" t="s">
        <v>8</v>
      </c>
    </row>
    <row r="2" spans="1:2" x14ac:dyDescent="0.3">
      <c r="A2" s="2" t="s">
        <v>32</v>
      </c>
      <c r="B2" s="2" t="s">
        <v>127</v>
      </c>
    </row>
    <row r="3" spans="1:2" x14ac:dyDescent="0.3">
      <c r="A3" s="2" t="s">
        <v>1</v>
      </c>
      <c r="B3" s="2" t="s">
        <v>128</v>
      </c>
    </row>
    <row r="4" spans="1:2" x14ac:dyDescent="0.3">
      <c r="A4" s="2" t="s">
        <v>21</v>
      </c>
      <c r="B4" s="2" t="s">
        <v>129</v>
      </c>
    </row>
    <row r="5" spans="1:2" x14ac:dyDescent="0.3">
      <c r="A5" s="2" t="s">
        <v>22</v>
      </c>
      <c r="B5" s="2" t="s">
        <v>130</v>
      </c>
    </row>
    <row r="6" spans="1:2" x14ac:dyDescent="0.3">
      <c r="A6" s="2" t="s">
        <v>33</v>
      </c>
      <c r="B6" s="2" t="s">
        <v>131</v>
      </c>
    </row>
    <row r="7" spans="1:2" x14ac:dyDescent="0.3">
      <c r="A7" s="2" t="s">
        <v>34</v>
      </c>
      <c r="B7" s="2" t="s">
        <v>132</v>
      </c>
    </row>
    <row r="8" spans="1:2" x14ac:dyDescent="0.3">
      <c r="A8" s="2" t="s">
        <v>6</v>
      </c>
      <c r="B8" s="2" t="s">
        <v>133</v>
      </c>
    </row>
    <row r="9" spans="1:2" x14ac:dyDescent="0.3">
      <c r="A9" s="2" t="s">
        <v>35</v>
      </c>
      <c r="B9" s="2" t="s">
        <v>134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726CC-3D53-4803-96CF-B57970B5E322}">
  <sheetPr codeName="Sheet4">
    <tabColor rgb="FF0070C0"/>
  </sheetPr>
  <dimension ref="A1:B9"/>
  <sheetViews>
    <sheetView showGridLines="0" workbookViewId="0"/>
  </sheetViews>
  <sheetFormatPr defaultRowHeight="14.4" x14ac:dyDescent="0.3"/>
  <cols>
    <col min="1" max="1" width="21.6640625" bestFit="1" customWidth="1"/>
    <col min="2" max="2" width="23.88671875" bestFit="1" customWidth="1"/>
  </cols>
  <sheetData>
    <row r="1" spans="1:2" x14ac:dyDescent="0.3">
      <c r="A1" t="s">
        <v>7</v>
      </c>
      <c r="B1" t="s">
        <v>8</v>
      </c>
    </row>
    <row r="2" spans="1:2" x14ac:dyDescent="0.3">
      <c r="A2" s="2" t="s">
        <v>9</v>
      </c>
      <c r="B2" s="2" t="s">
        <v>385</v>
      </c>
    </row>
    <row r="3" spans="1:2" x14ac:dyDescent="0.3">
      <c r="A3" s="2" t="s">
        <v>10</v>
      </c>
      <c r="B3" s="2" t="s">
        <v>386</v>
      </c>
    </row>
    <row r="4" spans="1:2" x14ac:dyDescent="0.3">
      <c r="A4" s="2" t="s">
        <v>11</v>
      </c>
      <c r="B4" s="2" t="s">
        <v>387</v>
      </c>
    </row>
    <row r="5" spans="1:2" x14ac:dyDescent="0.3">
      <c r="A5" s="2" t="s">
        <v>12</v>
      </c>
      <c r="B5" s="2" t="s">
        <v>388</v>
      </c>
    </row>
    <row r="6" spans="1:2" x14ac:dyDescent="0.3">
      <c r="A6" s="2" t="s">
        <v>13</v>
      </c>
      <c r="B6" s="2" t="s">
        <v>389</v>
      </c>
    </row>
    <row r="7" spans="1:2" x14ac:dyDescent="0.3">
      <c r="A7" s="2" t="s">
        <v>14</v>
      </c>
      <c r="B7" s="2" t="s">
        <v>390</v>
      </c>
    </row>
    <row r="8" spans="1:2" x14ac:dyDescent="0.3">
      <c r="A8" s="2" t="s">
        <v>15</v>
      </c>
      <c r="B8" s="2" t="s">
        <v>391</v>
      </c>
    </row>
    <row r="9" spans="1:2" x14ac:dyDescent="0.3">
      <c r="A9" s="2" t="s">
        <v>16</v>
      </c>
      <c r="B9" s="2" t="s">
        <v>392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1DDA3-2403-4382-924D-1036C56D7E42}">
  <sheetPr codeName="Sheet5">
    <tabColor rgb="FF0070C0"/>
  </sheetPr>
  <dimension ref="A1:G99"/>
  <sheetViews>
    <sheetView showGridLines="0" workbookViewId="0"/>
  </sheetViews>
  <sheetFormatPr defaultRowHeight="14.4" x14ac:dyDescent="0.3"/>
  <cols>
    <col min="1" max="1" width="10.5546875" bestFit="1" customWidth="1"/>
    <col min="2" max="2" width="7.77734375" bestFit="1" customWidth="1"/>
    <col min="3" max="4" width="7" bestFit="1" customWidth="1"/>
    <col min="5" max="5" width="8.6640625" bestFit="1" customWidth="1"/>
    <col min="6" max="6" width="13" bestFit="1" customWidth="1"/>
    <col min="7" max="7" width="10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1">
        <v>44098</v>
      </c>
      <c r="B2" s="2">
        <v>105.17</v>
      </c>
      <c r="C2" s="2">
        <v>110.25</v>
      </c>
      <c r="D2" s="2">
        <v>105</v>
      </c>
      <c r="E2" s="2">
        <v>108.22</v>
      </c>
      <c r="F2" s="2">
        <v>107.87</v>
      </c>
      <c r="G2" s="2">
        <v>167743300</v>
      </c>
    </row>
    <row r="3" spans="1:7" x14ac:dyDescent="0.3">
      <c r="A3" s="1">
        <v>44099</v>
      </c>
      <c r="B3" s="2">
        <v>108.43</v>
      </c>
      <c r="C3" s="2">
        <v>112.44</v>
      </c>
      <c r="D3" s="2">
        <v>107.67</v>
      </c>
      <c r="E3" s="2">
        <v>112.28</v>
      </c>
      <c r="F3" s="2">
        <v>111.92</v>
      </c>
      <c r="G3" s="2">
        <v>149981400</v>
      </c>
    </row>
    <row r="4" spans="1:7" x14ac:dyDescent="0.3">
      <c r="A4" s="1">
        <v>44102</v>
      </c>
      <c r="B4" s="2">
        <v>115.01</v>
      </c>
      <c r="C4" s="2">
        <v>115.32</v>
      </c>
      <c r="D4" s="2">
        <v>112.78</v>
      </c>
      <c r="E4" s="2">
        <v>114.96</v>
      </c>
      <c r="F4" s="2">
        <v>114.59</v>
      </c>
      <c r="G4" s="2">
        <v>137672400</v>
      </c>
    </row>
    <row r="5" spans="1:7" x14ac:dyDescent="0.3">
      <c r="A5" s="1">
        <v>44103</v>
      </c>
      <c r="B5" s="2">
        <v>114.55</v>
      </c>
      <c r="C5" s="2">
        <v>115.31</v>
      </c>
      <c r="D5" s="2">
        <v>113.57</v>
      </c>
      <c r="E5" s="2">
        <v>114.09</v>
      </c>
      <c r="F5" s="2">
        <v>113.72</v>
      </c>
      <c r="G5" s="2">
        <v>99382200</v>
      </c>
    </row>
    <row r="6" spans="1:7" x14ac:dyDescent="0.3">
      <c r="A6" s="1">
        <v>44104</v>
      </c>
      <c r="B6" s="2">
        <v>113.79</v>
      </c>
      <c r="C6" s="2">
        <v>117.26</v>
      </c>
      <c r="D6" s="2">
        <v>113.62</v>
      </c>
      <c r="E6" s="2">
        <v>115.81</v>
      </c>
      <c r="F6" s="2">
        <v>115.44</v>
      </c>
      <c r="G6" s="2">
        <v>142675200</v>
      </c>
    </row>
    <row r="7" spans="1:7" x14ac:dyDescent="0.3">
      <c r="A7" s="1">
        <v>44105</v>
      </c>
      <c r="B7" s="2">
        <v>117.64</v>
      </c>
      <c r="C7" s="2">
        <v>117.72</v>
      </c>
      <c r="D7" s="2">
        <v>115.83</v>
      </c>
      <c r="E7" s="2">
        <v>116.79</v>
      </c>
      <c r="F7" s="2">
        <v>116.41</v>
      </c>
      <c r="G7" s="2">
        <v>116120400</v>
      </c>
    </row>
    <row r="8" spans="1:7" x14ac:dyDescent="0.3">
      <c r="A8" s="1">
        <v>44106</v>
      </c>
      <c r="B8" s="2">
        <v>112.89</v>
      </c>
      <c r="C8" s="2">
        <v>115.37</v>
      </c>
      <c r="D8" s="2">
        <v>112.22</v>
      </c>
      <c r="E8" s="2">
        <v>113.02</v>
      </c>
      <c r="F8" s="2">
        <v>112.66</v>
      </c>
      <c r="G8" s="2">
        <v>144712000</v>
      </c>
    </row>
    <row r="9" spans="1:7" x14ac:dyDescent="0.3">
      <c r="A9" s="1">
        <v>44109</v>
      </c>
      <c r="B9" s="2">
        <v>113.91</v>
      </c>
      <c r="C9" s="2">
        <v>116.65</v>
      </c>
      <c r="D9" s="2">
        <v>113.55</v>
      </c>
      <c r="E9" s="2">
        <v>116.5</v>
      </c>
      <c r="F9" s="2">
        <v>116.13</v>
      </c>
      <c r="G9" s="2">
        <v>106243800</v>
      </c>
    </row>
    <row r="10" spans="1:7" x14ac:dyDescent="0.3">
      <c r="A10" s="1">
        <v>44110</v>
      </c>
      <c r="B10" s="2">
        <v>115.7</v>
      </c>
      <c r="C10" s="2">
        <v>116.12</v>
      </c>
      <c r="D10" s="2">
        <v>112.25</v>
      </c>
      <c r="E10" s="2">
        <v>113.16</v>
      </c>
      <c r="F10" s="2">
        <v>112.8</v>
      </c>
      <c r="G10" s="2">
        <v>161498200</v>
      </c>
    </row>
    <row r="11" spans="1:7" x14ac:dyDescent="0.3">
      <c r="A11" s="1">
        <v>44111</v>
      </c>
      <c r="B11" s="2">
        <v>114.62</v>
      </c>
      <c r="C11" s="2">
        <v>115.55</v>
      </c>
      <c r="D11" s="2">
        <v>114.13</v>
      </c>
      <c r="E11" s="2">
        <v>115.08</v>
      </c>
      <c r="F11" s="2">
        <v>114.71</v>
      </c>
      <c r="G11" s="2">
        <v>96849000</v>
      </c>
    </row>
    <row r="12" spans="1:7" x14ac:dyDescent="0.3">
      <c r="A12" s="1">
        <v>44112</v>
      </c>
      <c r="B12" s="2">
        <v>116.25</v>
      </c>
      <c r="C12" s="2">
        <v>116.4</v>
      </c>
      <c r="D12" s="2">
        <v>114.59</v>
      </c>
      <c r="E12" s="2">
        <v>114.97</v>
      </c>
      <c r="F12" s="2">
        <v>114.6</v>
      </c>
      <c r="G12" s="2">
        <v>83477200</v>
      </c>
    </row>
    <row r="13" spans="1:7" x14ac:dyDescent="0.3">
      <c r="A13" s="1">
        <v>44113</v>
      </c>
      <c r="B13" s="2">
        <v>115.28</v>
      </c>
      <c r="C13" s="2">
        <v>117</v>
      </c>
      <c r="D13" s="2">
        <v>114.92</v>
      </c>
      <c r="E13" s="2">
        <v>116.97</v>
      </c>
      <c r="F13" s="2">
        <v>116.59</v>
      </c>
      <c r="G13" s="2">
        <v>100506900</v>
      </c>
    </row>
    <row r="14" spans="1:7" x14ac:dyDescent="0.3">
      <c r="A14" s="1">
        <v>44116</v>
      </c>
      <c r="B14" s="2">
        <v>120.06</v>
      </c>
      <c r="C14" s="2">
        <v>125.18</v>
      </c>
      <c r="D14" s="2">
        <v>119.28</v>
      </c>
      <c r="E14" s="2">
        <v>124.4</v>
      </c>
      <c r="F14" s="2">
        <v>124</v>
      </c>
      <c r="G14" s="2">
        <v>240226800</v>
      </c>
    </row>
    <row r="15" spans="1:7" x14ac:dyDescent="0.3">
      <c r="A15" s="1">
        <v>44117</v>
      </c>
      <c r="B15" s="2">
        <v>125.27</v>
      </c>
      <c r="C15" s="2">
        <v>125.39</v>
      </c>
      <c r="D15" s="2">
        <v>119.65</v>
      </c>
      <c r="E15" s="2">
        <v>121.1</v>
      </c>
      <c r="F15" s="2">
        <v>120.71</v>
      </c>
      <c r="G15" s="2">
        <v>262330500</v>
      </c>
    </row>
    <row r="16" spans="1:7" x14ac:dyDescent="0.3">
      <c r="A16" s="1">
        <v>44118</v>
      </c>
      <c r="B16" s="2">
        <v>121</v>
      </c>
      <c r="C16" s="2">
        <v>123.03</v>
      </c>
      <c r="D16" s="2">
        <v>119.62</v>
      </c>
      <c r="E16" s="2">
        <v>121.19</v>
      </c>
      <c r="F16" s="2">
        <v>120.8</v>
      </c>
      <c r="G16" s="2">
        <v>151062300</v>
      </c>
    </row>
    <row r="17" spans="1:7" x14ac:dyDescent="0.3">
      <c r="A17" s="1">
        <v>44119</v>
      </c>
      <c r="B17" s="2">
        <v>118.72</v>
      </c>
      <c r="C17" s="2">
        <v>121.2</v>
      </c>
      <c r="D17" s="2">
        <v>118.15</v>
      </c>
      <c r="E17" s="2">
        <v>120.71</v>
      </c>
      <c r="F17" s="2">
        <v>120.32</v>
      </c>
      <c r="G17" s="2">
        <v>112559200</v>
      </c>
    </row>
    <row r="18" spans="1:7" x14ac:dyDescent="0.3">
      <c r="A18" s="1">
        <v>44120</v>
      </c>
      <c r="B18" s="2">
        <v>121.28</v>
      </c>
      <c r="C18" s="2">
        <v>121.55</v>
      </c>
      <c r="D18" s="2">
        <v>118.81</v>
      </c>
      <c r="E18" s="2">
        <v>119.02</v>
      </c>
      <c r="F18" s="2">
        <v>118.64</v>
      </c>
      <c r="G18" s="2">
        <v>115393800</v>
      </c>
    </row>
    <row r="19" spans="1:7" x14ac:dyDescent="0.3">
      <c r="A19" s="1">
        <v>44123</v>
      </c>
      <c r="B19" s="2">
        <v>119.96</v>
      </c>
      <c r="C19" s="2">
        <v>120.42</v>
      </c>
      <c r="D19" s="2">
        <v>115.66</v>
      </c>
      <c r="E19" s="2">
        <v>115.98</v>
      </c>
      <c r="F19" s="2">
        <v>115.61</v>
      </c>
      <c r="G19" s="2">
        <v>120639300</v>
      </c>
    </row>
    <row r="20" spans="1:7" x14ac:dyDescent="0.3">
      <c r="A20" s="1">
        <v>44124</v>
      </c>
      <c r="B20" s="2">
        <v>116.2</v>
      </c>
      <c r="C20" s="2">
        <v>118.98</v>
      </c>
      <c r="D20" s="2">
        <v>115.63</v>
      </c>
      <c r="E20" s="2">
        <v>117.51</v>
      </c>
      <c r="F20" s="2">
        <v>117.13</v>
      </c>
      <c r="G20" s="2">
        <v>124423700</v>
      </c>
    </row>
    <row r="21" spans="1:7" x14ac:dyDescent="0.3">
      <c r="A21" s="1">
        <v>44125</v>
      </c>
      <c r="B21" s="2">
        <v>116.67</v>
      </c>
      <c r="C21" s="2">
        <v>118.71</v>
      </c>
      <c r="D21" s="2">
        <v>116.45</v>
      </c>
      <c r="E21" s="2">
        <v>116.87</v>
      </c>
      <c r="F21" s="2">
        <v>116.49</v>
      </c>
      <c r="G21" s="2">
        <v>89946000</v>
      </c>
    </row>
    <row r="22" spans="1:7" x14ac:dyDescent="0.3">
      <c r="A22" s="1">
        <v>44126</v>
      </c>
      <c r="B22" s="2">
        <v>117.45</v>
      </c>
      <c r="C22" s="2">
        <v>118.04</v>
      </c>
      <c r="D22" s="2">
        <v>114.59</v>
      </c>
      <c r="E22" s="2">
        <v>115.75</v>
      </c>
      <c r="F22" s="2">
        <v>115.38</v>
      </c>
      <c r="G22" s="2">
        <v>101988000</v>
      </c>
    </row>
    <row r="23" spans="1:7" x14ac:dyDescent="0.3">
      <c r="A23" s="1">
        <v>44127</v>
      </c>
      <c r="B23" s="2">
        <v>116.39</v>
      </c>
      <c r="C23" s="2">
        <v>116.55</v>
      </c>
      <c r="D23" s="2">
        <v>114.28</v>
      </c>
      <c r="E23" s="2">
        <v>115.04</v>
      </c>
      <c r="F23" s="2">
        <v>114.67</v>
      </c>
      <c r="G23" s="2">
        <v>82572600</v>
      </c>
    </row>
    <row r="24" spans="1:7" x14ac:dyDescent="0.3">
      <c r="A24" s="1">
        <v>44130</v>
      </c>
      <c r="B24" s="2">
        <v>114.01</v>
      </c>
      <c r="C24" s="2">
        <v>116.55</v>
      </c>
      <c r="D24" s="2">
        <v>112.88</v>
      </c>
      <c r="E24" s="2">
        <v>115.05</v>
      </c>
      <c r="F24" s="2">
        <v>114.68</v>
      </c>
      <c r="G24" s="2">
        <v>111850700</v>
      </c>
    </row>
    <row r="25" spans="1:7" x14ac:dyDescent="0.3">
      <c r="A25" s="1">
        <v>44131</v>
      </c>
      <c r="B25" s="2">
        <v>115.49</v>
      </c>
      <c r="C25" s="2">
        <v>117.28</v>
      </c>
      <c r="D25" s="2">
        <v>114.54</v>
      </c>
      <c r="E25" s="2">
        <v>116.6</v>
      </c>
      <c r="F25" s="2">
        <v>116.23</v>
      </c>
      <c r="G25" s="2">
        <v>92276800</v>
      </c>
    </row>
    <row r="26" spans="1:7" x14ac:dyDescent="0.3">
      <c r="A26" s="1">
        <v>44132</v>
      </c>
      <c r="B26" s="2">
        <v>115.05</v>
      </c>
      <c r="C26" s="2">
        <v>115.43</v>
      </c>
      <c r="D26" s="2">
        <v>111.1</v>
      </c>
      <c r="E26" s="2">
        <v>111.2</v>
      </c>
      <c r="F26" s="2">
        <v>110.84</v>
      </c>
      <c r="G26" s="2">
        <v>143937800</v>
      </c>
    </row>
    <row r="27" spans="1:7" x14ac:dyDescent="0.3">
      <c r="A27" s="1">
        <v>44133</v>
      </c>
      <c r="B27" s="2">
        <v>112.37</v>
      </c>
      <c r="C27" s="2">
        <v>116.93</v>
      </c>
      <c r="D27" s="2">
        <v>112.2</v>
      </c>
      <c r="E27" s="2">
        <v>115.32</v>
      </c>
      <c r="F27" s="2">
        <v>114.95</v>
      </c>
      <c r="G27" s="2">
        <v>146129200</v>
      </c>
    </row>
    <row r="28" spans="1:7" x14ac:dyDescent="0.3">
      <c r="A28" s="1">
        <v>44134</v>
      </c>
      <c r="B28" s="2">
        <v>111.06</v>
      </c>
      <c r="C28" s="2">
        <v>111.99</v>
      </c>
      <c r="D28" s="2">
        <v>107.72</v>
      </c>
      <c r="E28" s="2">
        <v>108.86</v>
      </c>
      <c r="F28" s="2">
        <v>108.51</v>
      </c>
      <c r="G28" s="2">
        <v>190272600</v>
      </c>
    </row>
    <row r="29" spans="1:7" x14ac:dyDescent="0.3">
      <c r="A29" s="1">
        <v>44137</v>
      </c>
      <c r="B29" s="2">
        <v>109.11</v>
      </c>
      <c r="C29" s="2">
        <v>110.68</v>
      </c>
      <c r="D29" s="2">
        <v>107.32</v>
      </c>
      <c r="E29" s="2">
        <v>108.77</v>
      </c>
      <c r="F29" s="2">
        <v>108.42</v>
      </c>
      <c r="G29" s="2">
        <v>122866900</v>
      </c>
    </row>
    <row r="30" spans="1:7" x14ac:dyDescent="0.3">
      <c r="A30" s="1">
        <v>44138</v>
      </c>
      <c r="B30" s="2">
        <v>109.66</v>
      </c>
      <c r="C30" s="2">
        <v>111.49</v>
      </c>
      <c r="D30" s="2">
        <v>108.73</v>
      </c>
      <c r="E30" s="2">
        <v>110.44</v>
      </c>
      <c r="F30" s="2">
        <v>110.09</v>
      </c>
      <c r="G30" s="2">
        <v>107624400</v>
      </c>
    </row>
    <row r="31" spans="1:7" x14ac:dyDescent="0.3">
      <c r="A31" s="1">
        <v>44139</v>
      </c>
      <c r="B31" s="2">
        <v>114.14</v>
      </c>
      <c r="C31" s="2">
        <v>115.59</v>
      </c>
      <c r="D31" s="2">
        <v>112.35</v>
      </c>
      <c r="E31" s="2">
        <v>114.95</v>
      </c>
      <c r="F31" s="2">
        <v>114.58</v>
      </c>
      <c r="G31" s="2">
        <v>138235500</v>
      </c>
    </row>
    <row r="32" spans="1:7" x14ac:dyDescent="0.3">
      <c r="A32" s="1">
        <v>44140</v>
      </c>
      <c r="B32" s="2">
        <v>117.95</v>
      </c>
      <c r="C32" s="2">
        <v>119.62</v>
      </c>
      <c r="D32" s="2">
        <v>116.87</v>
      </c>
      <c r="E32" s="2">
        <v>119.03</v>
      </c>
      <c r="F32" s="2">
        <v>118.65</v>
      </c>
      <c r="G32" s="2">
        <v>126387100</v>
      </c>
    </row>
    <row r="33" spans="1:7" x14ac:dyDescent="0.3">
      <c r="A33" s="1">
        <v>44141</v>
      </c>
      <c r="B33" s="2">
        <v>118.32</v>
      </c>
      <c r="C33" s="2">
        <v>119.2</v>
      </c>
      <c r="D33" s="2">
        <v>116.13</v>
      </c>
      <c r="E33" s="2">
        <v>118.69</v>
      </c>
      <c r="F33" s="2">
        <v>118.51</v>
      </c>
      <c r="G33" s="2">
        <v>114457900</v>
      </c>
    </row>
    <row r="34" spans="1:7" x14ac:dyDescent="0.3">
      <c r="A34" s="1">
        <v>44144</v>
      </c>
      <c r="B34" s="2">
        <v>120.5</v>
      </c>
      <c r="C34" s="2">
        <v>121.99</v>
      </c>
      <c r="D34" s="2">
        <v>116.05</v>
      </c>
      <c r="E34" s="2">
        <v>116.32</v>
      </c>
      <c r="F34" s="2">
        <v>116.15</v>
      </c>
      <c r="G34" s="2">
        <v>154515300</v>
      </c>
    </row>
    <row r="35" spans="1:7" x14ac:dyDescent="0.3">
      <c r="A35" s="1">
        <v>44145</v>
      </c>
      <c r="B35" s="2">
        <v>115.55</v>
      </c>
      <c r="C35" s="2">
        <v>117.59</v>
      </c>
      <c r="D35" s="2">
        <v>114.13</v>
      </c>
      <c r="E35" s="2">
        <v>115.97</v>
      </c>
      <c r="F35" s="2">
        <v>115.8</v>
      </c>
      <c r="G35" s="2">
        <v>138023400</v>
      </c>
    </row>
    <row r="36" spans="1:7" x14ac:dyDescent="0.3">
      <c r="A36" s="1">
        <v>44146</v>
      </c>
      <c r="B36" s="2">
        <v>117.19</v>
      </c>
      <c r="C36" s="2">
        <v>119.63</v>
      </c>
      <c r="D36" s="2">
        <v>116.44</v>
      </c>
      <c r="E36" s="2">
        <v>119.49</v>
      </c>
      <c r="F36" s="2">
        <v>119.31</v>
      </c>
      <c r="G36" s="2">
        <v>112295000</v>
      </c>
    </row>
    <row r="37" spans="1:7" x14ac:dyDescent="0.3">
      <c r="A37" s="1">
        <v>44147</v>
      </c>
      <c r="B37" s="2">
        <v>119.62</v>
      </c>
      <c r="C37" s="2">
        <v>120.53</v>
      </c>
      <c r="D37" s="2">
        <v>118.57</v>
      </c>
      <c r="E37" s="2">
        <v>119.21</v>
      </c>
      <c r="F37" s="2">
        <v>119.03</v>
      </c>
      <c r="G37" s="2">
        <v>103162300</v>
      </c>
    </row>
    <row r="38" spans="1:7" x14ac:dyDescent="0.3">
      <c r="A38" s="1">
        <v>44148</v>
      </c>
      <c r="B38" s="2">
        <v>119.44</v>
      </c>
      <c r="C38" s="2">
        <v>119.67</v>
      </c>
      <c r="D38" s="2">
        <v>117.87</v>
      </c>
      <c r="E38" s="2">
        <v>119.26</v>
      </c>
      <c r="F38" s="2">
        <v>119.08</v>
      </c>
      <c r="G38" s="2">
        <v>81581900</v>
      </c>
    </row>
    <row r="39" spans="1:7" x14ac:dyDescent="0.3">
      <c r="A39" s="1">
        <v>44151</v>
      </c>
      <c r="B39" s="2">
        <v>118.92</v>
      </c>
      <c r="C39" s="2">
        <v>120.99</v>
      </c>
      <c r="D39" s="2">
        <v>118.15</v>
      </c>
      <c r="E39" s="2">
        <v>120.3</v>
      </c>
      <c r="F39" s="2">
        <v>120.12</v>
      </c>
      <c r="G39" s="2">
        <v>91183000</v>
      </c>
    </row>
    <row r="40" spans="1:7" x14ac:dyDescent="0.3">
      <c r="A40" s="1">
        <v>44152</v>
      </c>
      <c r="B40" s="2">
        <v>119.55</v>
      </c>
      <c r="C40" s="2">
        <v>120.67</v>
      </c>
      <c r="D40" s="2">
        <v>118.96</v>
      </c>
      <c r="E40" s="2">
        <v>119.39</v>
      </c>
      <c r="F40" s="2">
        <v>119.21</v>
      </c>
      <c r="G40" s="2">
        <v>74271000</v>
      </c>
    </row>
    <row r="41" spans="1:7" x14ac:dyDescent="0.3">
      <c r="A41" s="1">
        <v>44153</v>
      </c>
      <c r="B41" s="2">
        <v>118.61</v>
      </c>
      <c r="C41" s="2">
        <v>119.82</v>
      </c>
      <c r="D41" s="2">
        <v>118</v>
      </c>
      <c r="E41" s="2">
        <v>118.03</v>
      </c>
      <c r="F41" s="2">
        <v>117.85</v>
      </c>
      <c r="G41" s="2">
        <v>76322100</v>
      </c>
    </row>
    <row r="42" spans="1:7" x14ac:dyDescent="0.3">
      <c r="A42" s="1">
        <v>44154</v>
      </c>
      <c r="B42" s="2">
        <v>117.59</v>
      </c>
      <c r="C42" s="2">
        <v>119.06</v>
      </c>
      <c r="D42" s="2">
        <v>116.81</v>
      </c>
      <c r="E42" s="2">
        <v>118.64</v>
      </c>
      <c r="F42" s="2">
        <v>118.46</v>
      </c>
      <c r="G42" s="2">
        <v>74113000</v>
      </c>
    </row>
    <row r="43" spans="1:7" x14ac:dyDescent="0.3">
      <c r="A43" s="1">
        <v>44155</v>
      </c>
      <c r="B43" s="2">
        <v>118.64</v>
      </c>
      <c r="C43" s="2">
        <v>118.77</v>
      </c>
      <c r="D43" s="2">
        <v>117.29</v>
      </c>
      <c r="E43" s="2">
        <v>117.34</v>
      </c>
      <c r="F43" s="2">
        <v>117.16</v>
      </c>
      <c r="G43" s="2">
        <v>73604300</v>
      </c>
    </row>
    <row r="44" spans="1:7" x14ac:dyDescent="0.3">
      <c r="A44" s="1">
        <v>44158</v>
      </c>
      <c r="B44" s="2">
        <v>117.18</v>
      </c>
      <c r="C44" s="2">
        <v>117.62</v>
      </c>
      <c r="D44" s="2">
        <v>113.75</v>
      </c>
      <c r="E44" s="2">
        <v>113.85</v>
      </c>
      <c r="F44" s="2">
        <v>113.68</v>
      </c>
      <c r="G44" s="2">
        <v>127959300</v>
      </c>
    </row>
    <row r="45" spans="1:7" x14ac:dyDescent="0.3">
      <c r="A45" s="1">
        <v>44159</v>
      </c>
      <c r="B45" s="2">
        <v>113.91</v>
      </c>
      <c r="C45" s="2">
        <v>115.85</v>
      </c>
      <c r="D45" s="2">
        <v>112.59</v>
      </c>
      <c r="E45" s="2">
        <v>115.17</v>
      </c>
      <c r="F45" s="2">
        <v>115</v>
      </c>
      <c r="G45" s="2">
        <v>113874200</v>
      </c>
    </row>
    <row r="46" spans="1:7" x14ac:dyDescent="0.3">
      <c r="A46" s="1">
        <v>44160</v>
      </c>
      <c r="B46" s="2">
        <v>115.55</v>
      </c>
      <c r="C46" s="2">
        <v>116.75</v>
      </c>
      <c r="D46" s="2">
        <v>115.17</v>
      </c>
      <c r="E46" s="2">
        <v>116.03</v>
      </c>
      <c r="F46" s="2">
        <v>115.86</v>
      </c>
      <c r="G46" s="2">
        <v>76499200</v>
      </c>
    </row>
    <row r="47" spans="1:7" x14ac:dyDescent="0.3">
      <c r="A47" s="1">
        <v>44162</v>
      </c>
      <c r="B47" s="2">
        <v>116.57</v>
      </c>
      <c r="C47" s="2">
        <v>117.49</v>
      </c>
      <c r="D47" s="2">
        <v>116.22</v>
      </c>
      <c r="E47" s="2">
        <v>116.59</v>
      </c>
      <c r="F47" s="2">
        <v>116.42</v>
      </c>
      <c r="G47" s="2">
        <v>46691300</v>
      </c>
    </row>
    <row r="48" spans="1:7" x14ac:dyDescent="0.3">
      <c r="A48" s="1">
        <v>44165</v>
      </c>
      <c r="B48" s="2">
        <v>116.97</v>
      </c>
      <c r="C48" s="2">
        <v>120.97</v>
      </c>
      <c r="D48" s="2">
        <v>116.81</v>
      </c>
      <c r="E48" s="2">
        <v>119.05</v>
      </c>
      <c r="F48" s="2">
        <v>118.87</v>
      </c>
      <c r="G48" s="2">
        <v>169410200</v>
      </c>
    </row>
    <row r="49" spans="1:7" x14ac:dyDescent="0.3">
      <c r="A49" s="1">
        <v>44166</v>
      </c>
      <c r="B49" s="2">
        <v>121.01</v>
      </c>
      <c r="C49" s="2">
        <v>123.47</v>
      </c>
      <c r="D49" s="2">
        <v>120.01</v>
      </c>
      <c r="E49" s="2">
        <v>122.72</v>
      </c>
      <c r="F49" s="2">
        <v>122.54</v>
      </c>
      <c r="G49" s="2">
        <v>128166800</v>
      </c>
    </row>
    <row r="50" spans="1:7" x14ac:dyDescent="0.3">
      <c r="A50" s="1">
        <v>44167</v>
      </c>
      <c r="B50" s="2">
        <v>122.02</v>
      </c>
      <c r="C50" s="2">
        <v>123.37</v>
      </c>
      <c r="D50" s="2">
        <v>120.89</v>
      </c>
      <c r="E50" s="2">
        <v>123.08</v>
      </c>
      <c r="F50" s="2">
        <v>122.9</v>
      </c>
      <c r="G50" s="2">
        <v>89004200</v>
      </c>
    </row>
    <row r="51" spans="1:7" x14ac:dyDescent="0.3">
      <c r="A51" s="1">
        <v>44168</v>
      </c>
      <c r="B51" s="2">
        <v>123.52</v>
      </c>
      <c r="C51" s="2">
        <v>123.78</v>
      </c>
      <c r="D51" s="2">
        <v>122.21</v>
      </c>
      <c r="E51" s="2">
        <v>122.94</v>
      </c>
      <c r="F51" s="2">
        <v>122.76</v>
      </c>
      <c r="G51" s="2">
        <v>78967600</v>
      </c>
    </row>
    <row r="52" spans="1:7" x14ac:dyDescent="0.3">
      <c r="A52" s="1">
        <v>44169</v>
      </c>
      <c r="B52" s="2">
        <v>122.6</v>
      </c>
      <c r="C52" s="2">
        <v>122.86</v>
      </c>
      <c r="D52" s="2">
        <v>121.52</v>
      </c>
      <c r="E52" s="2">
        <v>122.25</v>
      </c>
      <c r="F52" s="2">
        <v>122.07</v>
      </c>
      <c r="G52" s="2">
        <v>78260400</v>
      </c>
    </row>
    <row r="53" spans="1:7" x14ac:dyDescent="0.3">
      <c r="A53" s="1">
        <v>44172</v>
      </c>
      <c r="B53" s="2">
        <v>122.31</v>
      </c>
      <c r="C53" s="2">
        <v>124.57</v>
      </c>
      <c r="D53" s="2">
        <v>122.25</v>
      </c>
      <c r="E53" s="2">
        <v>123.75</v>
      </c>
      <c r="F53" s="2">
        <v>123.57</v>
      </c>
      <c r="G53" s="2">
        <v>86712000</v>
      </c>
    </row>
    <row r="54" spans="1:7" x14ac:dyDescent="0.3">
      <c r="A54" s="1">
        <v>44173</v>
      </c>
      <c r="B54" s="2">
        <v>124.37</v>
      </c>
      <c r="C54" s="2">
        <v>124.98</v>
      </c>
      <c r="D54" s="2">
        <v>123.09</v>
      </c>
      <c r="E54" s="2">
        <v>124.38</v>
      </c>
      <c r="F54" s="2">
        <v>124.19</v>
      </c>
      <c r="G54" s="2">
        <v>82225500</v>
      </c>
    </row>
    <row r="55" spans="1:7" x14ac:dyDescent="0.3">
      <c r="A55" s="1">
        <v>44174</v>
      </c>
      <c r="B55" s="2">
        <v>124.53</v>
      </c>
      <c r="C55" s="2">
        <v>125.95</v>
      </c>
      <c r="D55" s="2">
        <v>121</v>
      </c>
      <c r="E55" s="2">
        <v>121.78</v>
      </c>
      <c r="F55" s="2">
        <v>121.6</v>
      </c>
      <c r="G55" s="2">
        <v>115089200</v>
      </c>
    </row>
    <row r="56" spans="1:7" x14ac:dyDescent="0.3">
      <c r="A56" s="1">
        <v>44175</v>
      </c>
      <c r="B56" s="2">
        <v>120.5</v>
      </c>
      <c r="C56" s="2">
        <v>123.87</v>
      </c>
      <c r="D56" s="2">
        <v>120.15</v>
      </c>
      <c r="E56" s="2">
        <v>123.24</v>
      </c>
      <c r="F56" s="2">
        <v>123.06</v>
      </c>
      <c r="G56" s="2">
        <v>81312200</v>
      </c>
    </row>
    <row r="57" spans="1:7" x14ac:dyDescent="0.3">
      <c r="A57" s="1">
        <v>44176</v>
      </c>
      <c r="B57" s="2">
        <v>122.43</v>
      </c>
      <c r="C57" s="2">
        <v>122.76</v>
      </c>
      <c r="D57" s="2">
        <v>120.55</v>
      </c>
      <c r="E57" s="2">
        <v>122.41</v>
      </c>
      <c r="F57" s="2">
        <v>122.23</v>
      </c>
      <c r="G57" s="2">
        <v>86939800</v>
      </c>
    </row>
    <row r="58" spans="1:7" x14ac:dyDescent="0.3">
      <c r="A58" s="1">
        <v>44179</v>
      </c>
      <c r="B58" s="2">
        <v>122.6</v>
      </c>
      <c r="C58" s="2">
        <v>123.35</v>
      </c>
      <c r="D58" s="2">
        <v>121.54</v>
      </c>
      <c r="E58" s="2">
        <v>121.78</v>
      </c>
      <c r="F58" s="2">
        <v>121.6</v>
      </c>
      <c r="G58" s="2">
        <v>79184500</v>
      </c>
    </row>
    <row r="59" spans="1:7" x14ac:dyDescent="0.3">
      <c r="A59" s="1">
        <v>44180</v>
      </c>
      <c r="B59" s="2">
        <v>124.34</v>
      </c>
      <c r="C59" s="2">
        <v>127.9</v>
      </c>
      <c r="D59" s="2">
        <v>124.13</v>
      </c>
      <c r="E59" s="2">
        <v>127.88</v>
      </c>
      <c r="F59" s="2">
        <v>127.69</v>
      </c>
      <c r="G59" s="2">
        <v>157572300</v>
      </c>
    </row>
    <row r="60" spans="1:7" x14ac:dyDescent="0.3">
      <c r="A60" s="1">
        <v>44181</v>
      </c>
      <c r="B60" s="2">
        <v>127.41</v>
      </c>
      <c r="C60" s="2">
        <v>128.37</v>
      </c>
      <c r="D60" s="2">
        <v>126.56</v>
      </c>
      <c r="E60" s="2">
        <v>127.81</v>
      </c>
      <c r="F60" s="2">
        <v>127.62</v>
      </c>
      <c r="G60" s="2">
        <v>98208600</v>
      </c>
    </row>
    <row r="61" spans="1:7" x14ac:dyDescent="0.3">
      <c r="A61" s="1">
        <v>44182</v>
      </c>
      <c r="B61" s="2">
        <v>128.9</v>
      </c>
      <c r="C61" s="2">
        <v>129.58000000000001</v>
      </c>
      <c r="D61" s="2">
        <v>128.04</v>
      </c>
      <c r="E61" s="2">
        <v>128.69999999999999</v>
      </c>
      <c r="F61" s="2">
        <v>128.51</v>
      </c>
      <c r="G61" s="2">
        <v>94359800</v>
      </c>
    </row>
    <row r="62" spans="1:7" x14ac:dyDescent="0.3">
      <c r="A62" s="1">
        <v>44183</v>
      </c>
      <c r="B62" s="2">
        <v>128.96</v>
      </c>
      <c r="C62" s="2">
        <v>129.1</v>
      </c>
      <c r="D62" s="2">
        <v>126.12</v>
      </c>
      <c r="E62" s="2">
        <v>126.66</v>
      </c>
      <c r="F62" s="2">
        <v>126.47</v>
      </c>
      <c r="G62" s="2">
        <v>192541500</v>
      </c>
    </row>
    <row r="63" spans="1:7" x14ac:dyDescent="0.3">
      <c r="A63" s="1">
        <v>44186</v>
      </c>
      <c r="B63" s="2">
        <v>125.02</v>
      </c>
      <c r="C63" s="2">
        <v>128.31</v>
      </c>
      <c r="D63" s="2">
        <v>123.45</v>
      </c>
      <c r="E63" s="2">
        <v>128.22999999999999</v>
      </c>
      <c r="F63" s="2">
        <v>128.04</v>
      </c>
      <c r="G63" s="2">
        <v>121251600</v>
      </c>
    </row>
    <row r="64" spans="1:7" x14ac:dyDescent="0.3">
      <c r="A64" s="1">
        <v>44187</v>
      </c>
      <c r="B64" s="2">
        <v>131.61000000000001</v>
      </c>
      <c r="C64" s="2">
        <v>134.41</v>
      </c>
      <c r="D64" s="2">
        <v>129.65</v>
      </c>
      <c r="E64" s="2">
        <v>131.88</v>
      </c>
      <c r="F64" s="2">
        <v>131.68</v>
      </c>
      <c r="G64" s="2">
        <v>168904800</v>
      </c>
    </row>
    <row r="65" spans="1:7" x14ac:dyDescent="0.3">
      <c r="A65" s="1">
        <v>44188</v>
      </c>
      <c r="B65" s="2">
        <v>132.16</v>
      </c>
      <c r="C65" s="2">
        <v>132.43</v>
      </c>
      <c r="D65" s="2">
        <v>130.78</v>
      </c>
      <c r="E65" s="2">
        <v>130.96</v>
      </c>
      <c r="F65" s="2">
        <v>130.76</v>
      </c>
      <c r="G65" s="2">
        <v>88223700</v>
      </c>
    </row>
    <row r="66" spans="1:7" x14ac:dyDescent="0.3">
      <c r="A66" s="1">
        <v>44189</v>
      </c>
      <c r="B66" s="2">
        <v>131.32</v>
      </c>
      <c r="C66" s="2">
        <v>133.46</v>
      </c>
      <c r="D66" s="2">
        <v>131.1</v>
      </c>
      <c r="E66" s="2">
        <v>131.97</v>
      </c>
      <c r="F66" s="2">
        <v>131.77000000000001</v>
      </c>
      <c r="G66" s="2">
        <v>54930100</v>
      </c>
    </row>
    <row r="67" spans="1:7" x14ac:dyDescent="0.3">
      <c r="A67" s="1">
        <v>44193</v>
      </c>
      <c r="B67" s="2">
        <v>133.99</v>
      </c>
      <c r="C67" s="2">
        <v>137.34</v>
      </c>
      <c r="D67" s="2">
        <v>133.51</v>
      </c>
      <c r="E67" s="2">
        <v>136.69</v>
      </c>
      <c r="F67" s="2">
        <v>136.49</v>
      </c>
      <c r="G67" s="2">
        <v>124486200</v>
      </c>
    </row>
    <row r="68" spans="1:7" x14ac:dyDescent="0.3">
      <c r="A68" s="1">
        <v>44194</v>
      </c>
      <c r="B68" s="2">
        <v>138.05000000000001</v>
      </c>
      <c r="C68" s="2">
        <v>138.79</v>
      </c>
      <c r="D68" s="2">
        <v>134.34</v>
      </c>
      <c r="E68" s="2">
        <v>134.87</v>
      </c>
      <c r="F68" s="2">
        <v>134.66999999999999</v>
      </c>
      <c r="G68" s="2">
        <v>121047300</v>
      </c>
    </row>
    <row r="69" spans="1:7" x14ac:dyDescent="0.3">
      <c r="A69" s="1">
        <v>44195</v>
      </c>
      <c r="B69" s="2">
        <v>135.58000000000001</v>
      </c>
      <c r="C69" s="2">
        <v>135.99</v>
      </c>
      <c r="D69" s="2">
        <v>133.4</v>
      </c>
      <c r="E69" s="2">
        <v>133.72</v>
      </c>
      <c r="F69" s="2">
        <v>133.52000000000001</v>
      </c>
      <c r="G69" s="2">
        <v>96452100</v>
      </c>
    </row>
    <row r="70" spans="1:7" x14ac:dyDescent="0.3">
      <c r="A70" s="1">
        <v>44196</v>
      </c>
      <c r="B70" s="2">
        <v>134.08000000000001</v>
      </c>
      <c r="C70" s="2">
        <v>134.74</v>
      </c>
      <c r="D70" s="2">
        <v>131.72</v>
      </c>
      <c r="E70" s="2">
        <v>132.69</v>
      </c>
      <c r="F70" s="2">
        <v>132.49</v>
      </c>
      <c r="G70" s="2">
        <v>98990400</v>
      </c>
    </row>
    <row r="71" spans="1:7" x14ac:dyDescent="0.3">
      <c r="A71" s="1">
        <v>44200</v>
      </c>
      <c r="B71" s="2">
        <v>133.52000000000001</v>
      </c>
      <c r="C71" s="2">
        <v>133.61000000000001</v>
      </c>
      <c r="D71" s="2">
        <v>126.76</v>
      </c>
      <c r="E71" s="2">
        <v>129.41</v>
      </c>
      <c r="F71" s="2">
        <v>129.22</v>
      </c>
      <c r="G71" s="2">
        <v>143301900</v>
      </c>
    </row>
    <row r="72" spans="1:7" x14ac:dyDescent="0.3">
      <c r="A72" s="1">
        <v>44201</v>
      </c>
      <c r="B72" s="2">
        <v>128.88999999999999</v>
      </c>
      <c r="C72" s="2">
        <v>131.74</v>
      </c>
      <c r="D72" s="2">
        <v>128.43</v>
      </c>
      <c r="E72" s="2">
        <v>131.01</v>
      </c>
      <c r="F72" s="2">
        <v>130.81</v>
      </c>
      <c r="G72" s="2">
        <v>97664900</v>
      </c>
    </row>
    <row r="73" spans="1:7" x14ac:dyDescent="0.3">
      <c r="A73" s="1">
        <v>44202</v>
      </c>
      <c r="B73" s="2">
        <v>127.72</v>
      </c>
      <c r="C73" s="2">
        <v>131.05000000000001</v>
      </c>
      <c r="D73" s="2">
        <v>126.38</v>
      </c>
      <c r="E73" s="2">
        <v>126.6</v>
      </c>
      <c r="F73" s="2">
        <v>126.41</v>
      </c>
      <c r="G73" s="2">
        <v>155088000</v>
      </c>
    </row>
    <row r="74" spans="1:7" x14ac:dyDescent="0.3">
      <c r="A74" s="1">
        <v>44203</v>
      </c>
      <c r="B74" s="2">
        <v>128.36000000000001</v>
      </c>
      <c r="C74" s="2">
        <v>131.63</v>
      </c>
      <c r="D74" s="2">
        <v>127.86</v>
      </c>
      <c r="E74" s="2">
        <v>130.91999999999999</v>
      </c>
      <c r="F74" s="2">
        <v>130.72</v>
      </c>
      <c r="G74" s="2">
        <v>109578200</v>
      </c>
    </row>
    <row r="75" spans="1:7" x14ac:dyDescent="0.3">
      <c r="A75" s="1">
        <v>44204</v>
      </c>
      <c r="B75" s="2">
        <v>132.43</v>
      </c>
      <c r="C75" s="2">
        <v>132.63</v>
      </c>
      <c r="D75" s="2">
        <v>130.22999999999999</v>
      </c>
      <c r="E75" s="2">
        <v>132.05000000000001</v>
      </c>
      <c r="F75" s="2">
        <v>131.85</v>
      </c>
      <c r="G75" s="2">
        <v>104965400</v>
      </c>
    </row>
    <row r="76" spans="1:7" x14ac:dyDescent="0.3">
      <c r="A76" s="1">
        <v>44207</v>
      </c>
      <c r="B76" s="2">
        <v>129.19</v>
      </c>
      <c r="C76" s="2">
        <v>130.16999999999999</v>
      </c>
      <c r="D76" s="2">
        <v>128.5</v>
      </c>
      <c r="E76" s="2">
        <v>128.97999999999999</v>
      </c>
      <c r="F76" s="2">
        <v>128.79</v>
      </c>
      <c r="G76" s="2">
        <v>100620900</v>
      </c>
    </row>
    <row r="77" spans="1:7" x14ac:dyDescent="0.3">
      <c r="A77" s="1">
        <v>44208</v>
      </c>
      <c r="B77" s="2">
        <v>128.5</v>
      </c>
      <c r="C77" s="2">
        <v>129.69</v>
      </c>
      <c r="D77" s="2">
        <v>126.86</v>
      </c>
      <c r="E77" s="2">
        <v>128.80000000000001</v>
      </c>
      <c r="F77" s="2">
        <v>128.61000000000001</v>
      </c>
      <c r="G77" s="2">
        <v>91951100</v>
      </c>
    </row>
    <row r="78" spans="1:7" x14ac:dyDescent="0.3">
      <c r="A78" s="1">
        <v>44209</v>
      </c>
      <c r="B78" s="2">
        <v>128.76</v>
      </c>
      <c r="C78" s="2">
        <v>131.44999999999999</v>
      </c>
      <c r="D78" s="2">
        <v>128.49</v>
      </c>
      <c r="E78" s="2">
        <v>130.88999999999999</v>
      </c>
      <c r="F78" s="2">
        <v>130.69</v>
      </c>
      <c r="G78" s="2">
        <v>88636800</v>
      </c>
    </row>
    <row r="79" spans="1:7" x14ac:dyDescent="0.3">
      <c r="A79" s="1">
        <v>44210</v>
      </c>
      <c r="B79" s="2">
        <v>130.80000000000001</v>
      </c>
      <c r="C79" s="2">
        <v>131</v>
      </c>
      <c r="D79" s="2">
        <v>128.76</v>
      </c>
      <c r="E79" s="2">
        <v>128.91</v>
      </c>
      <c r="F79" s="2">
        <v>128.72</v>
      </c>
      <c r="G79" s="2">
        <v>90221800</v>
      </c>
    </row>
    <row r="80" spans="1:7" x14ac:dyDescent="0.3">
      <c r="A80" s="1">
        <v>44211</v>
      </c>
      <c r="B80" s="2">
        <v>128.78</v>
      </c>
      <c r="C80" s="2">
        <v>130.22</v>
      </c>
      <c r="D80" s="2">
        <v>127</v>
      </c>
      <c r="E80" s="2">
        <v>127.14</v>
      </c>
      <c r="F80" s="2">
        <v>126.95</v>
      </c>
      <c r="G80" s="2">
        <v>111235300</v>
      </c>
    </row>
    <row r="81" spans="1:7" x14ac:dyDescent="0.3">
      <c r="A81" s="1">
        <v>44215</v>
      </c>
      <c r="B81" s="2">
        <v>127.78</v>
      </c>
      <c r="C81" s="2">
        <v>128.71</v>
      </c>
      <c r="D81" s="2">
        <v>126.94</v>
      </c>
      <c r="E81" s="2">
        <v>127.83</v>
      </c>
      <c r="F81" s="2">
        <v>127.64</v>
      </c>
      <c r="G81" s="2">
        <v>90757300</v>
      </c>
    </row>
    <row r="82" spans="1:7" x14ac:dyDescent="0.3">
      <c r="A82" s="1">
        <v>44216</v>
      </c>
      <c r="B82" s="2">
        <v>128.66</v>
      </c>
      <c r="C82" s="2">
        <v>132.49</v>
      </c>
      <c r="D82" s="2">
        <v>128.55000000000001</v>
      </c>
      <c r="E82" s="2">
        <v>132.03</v>
      </c>
      <c r="F82" s="2">
        <v>131.83000000000001</v>
      </c>
      <c r="G82" s="2">
        <v>104319500</v>
      </c>
    </row>
    <row r="83" spans="1:7" x14ac:dyDescent="0.3">
      <c r="A83" s="1">
        <v>44217</v>
      </c>
      <c r="B83" s="2">
        <v>133.80000000000001</v>
      </c>
      <c r="C83" s="2">
        <v>139.66999999999999</v>
      </c>
      <c r="D83" s="2">
        <v>133.59</v>
      </c>
      <c r="E83" s="2">
        <v>136.87</v>
      </c>
      <c r="F83" s="2">
        <v>136.66999999999999</v>
      </c>
      <c r="G83" s="2">
        <v>120529500</v>
      </c>
    </row>
    <row r="84" spans="1:7" x14ac:dyDescent="0.3">
      <c r="A84" s="1">
        <v>44218</v>
      </c>
      <c r="B84" s="2">
        <v>136.28</v>
      </c>
      <c r="C84" s="2">
        <v>139.85</v>
      </c>
      <c r="D84" s="2">
        <v>135.02000000000001</v>
      </c>
      <c r="E84" s="2">
        <v>139.07</v>
      </c>
      <c r="F84" s="2">
        <v>138.86000000000001</v>
      </c>
      <c r="G84" s="2">
        <v>113907200</v>
      </c>
    </row>
    <row r="85" spans="1:7" x14ac:dyDescent="0.3">
      <c r="A85" s="1">
        <v>44221</v>
      </c>
      <c r="B85" s="2">
        <v>143.07</v>
      </c>
      <c r="C85" s="2">
        <v>145.09</v>
      </c>
      <c r="D85" s="2">
        <v>136.54</v>
      </c>
      <c r="E85" s="2">
        <v>142.91999999999999</v>
      </c>
      <c r="F85" s="2">
        <v>142.71</v>
      </c>
      <c r="G85" s="2">
        <v>157611700</v>
      </c>
    </row>
    <row r="86" spans="1:7" x14ac:dyDescent="0.3">
      <c r="A86" s="1">
        <v>44222</v>
      </c>
      <c r="B86" s="2">
        <v>143.6</v>
      </c>
      <c r="C86" s="2">
        <v>144.30000000000001</v>
      </c>
      <c r="D86" s="2">
        <v>141.37</v>
      </c>
      <c r="E86" s="2">
        <v>143.16</v>
      </c>
      <c r="F86" s="2">
        <v>142.94999999999999</v>
      </c>
      <c r="G86" s="2">
        <v>98390600</v>
      </c>
    </row>
    <row r="87" spans="1:7" x14ac:dyDescent="0.3">
      <c r="A87" s="1">
        <v>44223</v>
      </c>
      <c r="B87" s="2">
        <v>143.43</v>
      </c>
      <c r="C87" s="2">
        <v>144.30000000000001</v>
      </c>
      <c r="D87" s="2">
        <v>140.41</v>
      </c>
      <c r="E87" s="2">
        <v>142.06</v>
      </c>
      <c r="F87" s="2">
        <v>141.85</v>
      </c>
      <c r="G87" s="2">
        <v>140843800</v>
      </c>
    </row>
    <row r="88" spans="1:7" x14ac:dyDescent="0.3">
      <c r="A88" s="1">
        <v>44224</v>
      </c>
      <c r="B88" s="2">
        <v>139.52000000000001</v>
      </c>
      <c r="C88" s="2">
        <v>141.99</v>
      </c>
      <c r="D88" s="2">
        <v>136.69999999999999</v>
      </c>
      <c r="E88" s="2">
        <v>137.09</v>
      </c>
      <c r="F88" s="2">
        <v>136.88999999999999</v>
      </c>
      <c r="G88" s="2">
        <v>142621100</v>
      </c>
    </row>
    <row r="89" spans="1:7" x14ac:dyDescent="0.3">
      <c r="A89" s="1">
        <v>44225</v>
      </c>
      <c r="B89" s="2">
        <v>135.83000000000001</v>
      </c>
      <c r="C89" s="2">
        <v>136.74</v>
      </c>
      <c r="D89" s="2">
        <v>130.21</v>
      </c>
      <c r="E89" s="2">
        <v>131.96</v>
      </c>
      <c r="F89" s="2">
        <v>131.76</v>
      </c>
      <c r="G89" s="2">
        <v>177180600</v>
      </c>
    </row>
    <row r="90" spans="1:7" x14ac:dyDescent="0.3">
      <c r="A90" s="1">
        <v>44228</v>
      </c>
      <c r="B90" s="2">
        <v>133.75</v>
      </c>
      <c r="C90" s="2">
        <v>135.38</v>
      </c>
      <c r="D90" s="2">
        <v>130.93</v>
      </c>
      <c r="E90" s="2">
        <v>134.13999999999999</v>
      </c>
      <c r="F90" s="2">
        <v>133.94</v>
      </c>
      <c r="G90" s="2">
        <v>106239800</v>
      </c>
    </row>
    <row r="91" spans="1:7" x14ac:dyDescent="0.3">
      <c r="A91" s="1">
        <v>44229</v>
      </c>
      <c r="B91" s="2">
        <v>135.72999999999999</v>
      </c>
      <c r="C91" s="2">
        <v>136.31</v>
      </c>
      <c r="D91" s="2">
        <v>134.61000000000001</v>
      </c>
      <c r="E91" s="2">
        <v>134.99</v>
      </c>
      <c r="F91" s="2">
        <v>134.79</v>
      </c>
      <c r="G91" s="2">
        <v>83305400</v>
      </c>
    </row>
    <row r="92" spans="1:7" x14ac:dyDescent="0.3">
      <c r="A92" s="1">
        <v>44230</v>
      </c>
      <c r="B92" s="2">
        <v>135.76</v>
      </c>
      <c r="C92" s="2">
        <v>135.77000000000001</v>
      </c>
      <c r="D92" s="2">
        <v>133.61000000000001</v>
      </c>
      <c r="E92" s="2">
        <v>133.94</v>
      </c>
      <c r="F92" s="2">
        <v>133.74</v>
      </c>
      <c r="G92" s="2">
        <v>89880900</v>
      </c>
    </row>
    <row r="93" spans="1:7" x14ac:dyDescent="0.3">
      <c r="A93" s="1">
        <v>44231</v>
      </c>
      <c r="B93" s="2">
        <v>136.30000000000001</v>
      </c>
      <c r="C93" s="2">
        <v>137.4</v>
      </c>
      <c r="D93" s="2">
        <v>134.59</v>
      </c>
      <c r="E93" s="2">
        <v>137.38999999999999</v>
      </c>
      <c r="F93" s="2">
        <v>137.18</v>
      </c>
      <c r="G93" s="2">
        <v>84183100</v>
      </c>
    </row>
    <row r="94" spans="1:7" x14ac:dyDescent="0.3">
      <c r="A94" s="1">
        <v>44232</v>
      </c>
      <c r="B94" s="2">
        <v>137.35</v>
      </c>
      <c r="C94" s="2">
        <v>137.41999999999999</v>
      </c>
      <c r="D94" s="2">
        <v>135.86000000000001</v>
      </c>
      <c r="E94" s="2">
        <v>136.76</v>
      </c>
      <c r="F94" s="2">
        <v>136.76</v>
      </c>
      <c r="G94" s="2">
        <v>75524000</v>
      </c>
    </row>
    <row r="95" spans="1:7" x14ac:dyDescent="0.3">
      <c r="A95" s="1">
        <v>44235</v>
      </c>
      <c r="B95" s="2">
        <v>136.03</v>
      </c>
      <c r="C95" s="2">
        <v>136.96</v>
      </c>
      <c r="D95" s="2">
        <v>134.91999999999999</v>
      </c>
      <c r="E95" s="2">
        <v>136.91</v>
      </c>
      <c r="F95" s="2">
        <v>136.91</v>
      </c>
      <c r="G95" s="2">
        <v>71297200</v>
      </c>
    </row>
    <row r="96" spans="1:7" x14ac:dyDescent="0.3">
      <c r="A96" s="1">
        <v>44236</v>
      </c>
      <c r="B96" s="2">
        <v>136.62</v>
      </c>
      <c r="C96" s="2">
        <v>137.88</v>
      </c>
      <c r="D96" s="2">
        <v>135.85</v>
      </c>
      <c r="E96" s="2">
        <v>136.01</v>
      </c>
      <c r="F96" s="2">
        <v>136.01</v>
      </c>
      <c r="G96" s="2">
        <v>76774200</v>
      </c>
    </row>
    <row r="97" spans="1:7" x14ac:dyDescent="0.3">
      <c r="A97" s="1">
        <v>44237</v>
      </c>
      <c r="B97" s="2">
        <v>136.47999999999999</v>
      </c>
      <c r="C97" s="2">
        <v>136.99</v>
      </c>
      <c r="D97" s="2">
        <v>134.4</v>
      </c>
      <c r="E97" s="2">
        <v>135.38999999999999</v>
      </c>
      <c r="F97" s="2">
        <v>135.38999999999999</v>
      </c>
      <c r="G97" s="2">
        <v>73046600</v>
      </c>
    </row>
    <row r="98" spans="1:7" x14ac:dyDescent="0.3">
      <c r="A98" s="1">
        <v>44238</v>
      </c>
      <c r="B98" s="2">
        <v>135.9</v>
      </c>
      <c r="C98" s="2">
        <v>136.38999999999999</v>
      </c>
      <c r="D98" s="2">
        <v>133.77000000000001</v>
      </c>
      <c r="E98" s="2">
        <v>135.13</v>
      </c>
      <c r="F98" s="2">
        <v>135.13</v>
      </c>
      <c r="G98" s="2">
        <v>64154400</v>
      </c>
    </row>
    <row r="99" spans="1:7" x14ac:dyDescent="0.3">
      <c r="A99" s="1">
        <v>44239</v>
      </c>
      <c r="B99" s="2">
        <v>134.35</v>
      </c>
      <c r="C99" s="2">
        <v>135.53</v>
      </c>
      <c r="D99" s="2">
        <v>133.69</v>
      </c>
      <c r="E99" s="2">
        <v>135.37</v>
      </c>
      <c r="F99" s="2">
        <v>135.37</v>
      </c>
      <c r="G99" s="2">
        <v>60029300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431C2-8DBD-4200-BF2B-1CD4A2AEF595}">
  <sheetPr codeName="Sheet6">
    <tabColor theme="7" tint="0.39997558519241921"/>
  </sheetPr>
  <dimension ref="A1:P200"/>
  <sheetViews>
    <sheetView workbookViewId="0">
      <selection activeCell="P1" sqref="O1:P1"/>
    </sheetView>
  </sheetViews>
  <sheetFormatPr defaultRowHeight="14.4" x14ac:dyDescent="0.3"/>
  <cols>
    <col min="1" max="1" width="10.5546875" style="1" bestFit="1" customWidth="1"/>
    <col min="3" max="3" width="12.5546875" customWidth="1"/>
    <col min="4" max="4" width="9.5546875" customWidth="1"/>
  </cols>
  <sheetData>
    <row r="1" spans="1:16" x14ac:dyDescent="0.3">
      <c r="A1" s="1" t="s">
        <v>0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76</v>
      </c>
      <c r="H1" t="s">
        <v>75</v>
      </c>
      <c r="O1" t="s">
        <v>74</v>
      </c>
      <c r="P1">
        <v>0.94</v>
      </c>
    </row>
    <row r="2" spans="1:16" x14ac:dyDescent="0.3">
      <c r="A2" s="1" cm="1">
        <f t="array" ref="A2:A99">YF_Spot[Date]</f>
        <v>44098</v>
      </c>
      <c r="B2">
        <f>IF(A2="","",_xlfn.RANK.EQ(A2,A:A,0))</f>
        <v>98</v>
      </c>
      <c r="C2" s="13">
        <f>IF(A2="","",VLOOKUP(A2,YF_Spot[#All],5,))</f>
        <v>108.22</v>
      </c>
      <c r="G2" s="13"/>
      <c r="H2" s="13"/>
    </row>
    <row r="3" spans="1:16" x14ac:dyDescent="0.3">
      <c r="A3" s="1">
        <v>44099</v>
      </c>
      <c r="B3">
        <f t="shared" ref="B3:B66" si="0">IF(A3="","",_xlfn.RANK.EQ(A3,A:A,0))</f>
        <v>97</v>
      </c>
      <c r="C3" s="13">
        <f>IF(A3="","",VLOOKUP(A3,YF_Spot[#All],5,))</f>
        <v>112.28</v>
      </c>
      <c r="D3" s="12">
        <f>IF(A3="","",LN(C3/C2))</f>
        <v>3.6829559279092587E-2</v>
      </c>
      <c r="E3" s="17">
        <f>_xlfn.VAR.S(D3:D200)</f>
        <v>4.4859626539899103E-4</v>
      </c>
      <c r="F3" s="12">
        <f>IF(A3="","",SQRT(E3))</f>
        <v>2.118009125095997E-2</v>
      </c>
      <c r="G3" s="13">
        <f>IF(A3="","",C3*(1-2*F3))</f>
        <v>107.52379870868442</v>
      </c>
      <c r="H3" s="13">
        <f>IF(A3="","",C3*(1+2*F3))</f>
        <v>117.03620129131558</v>
      </c>
    </row>
    <row r="4" spans="1:16" x14ac:dyDescent="0.3">
      <c r="A4" s="1">
        <v>44102</v>
      </c>
      <c r="B4">
        <f t="shared" si="0"/>
        <v>96</v>
      </c>
      <c r="C4" s="13">
        <f>IF(A4="","",VLOOKUP(A4,YF_Spot[#All],5,))</f>
        <v>114.96</v>
      </c>
      <c r="D4" s="12">
        <f t="shared" ref="D4:D67" si="1">IF(A4="","",LN(C4/C3))</f>
        <v>2.358849027708761E-2</v>
      </c>
      <c r="E4" s="17">
        <f>IF(A4="","",$P$1*E3+(1-$P$1)*D3^2)</f>
        <v>5.0306547567658332E-4</v>
      </c>
      <c r="F4" s="12">
        <f t="shared" ref="F4:F67" si="2">IF(A4="","",SQRT(E4))</f>
        <v>2.2429121152568225E-2</v>
      </c>
      <c r="G4" s="13">
        <f t="shared" ref="G4:G67" si="3">IF(A4="","",C4*(1-2*F4))</f>
        <v>109.80309646460151</v>
      </c>
      <c r="H4" s="13">
        <f t="shared" ref="H4:H67" si="4">IF(A4="","",C4*(1+2*F4))</f>
        <v>120.11690353539848</v>
      </c>
    </row>
    <row r="5" spans="1:16" x14ac:dyDescent="0.3">
      <c r="A5" s="1">
        <v>44103</v>
      </c>
      <c r="B5">
        <f t="shared" si="0"/>
        <v>95</v>
      </c>
      <c r="C5" s="13">
        <f>IF(A5="","",VLOOKUP(A5,YF_Spot[#All],5,))</f>
        <v>114.09</v>
      </c>
      <c r="D5" s="12">
        <f t="shared" si="1"/>
        <v>-7.5966311624914452E-3</v>
      </c>
      <c r="E5" s="17">
        <f t="shared" ref="E5:E68" si="5">IF(A5="","",$P$1*E4+(1-$P$1)*D4^2)</f>
        <v>5.0626655954912373E-4</v>
      </c>
      <c r="F5" s="12">
        <f t="shared" si="2"/>
        <v>2.2500367986971317E-2</v>
      </c>
      <c r="G5" s="13">
        <f t="shared" si="3"/>
        <v>108.95586603273289</v>
      </c>
      <c r="H5" s="13">
        <f t="shared" si="4"/>
        <v>119.22413396726712</v>
      </c>
    </row>
    <row r="6" spans="1:16" x14ac:dyDescent="0.3">
      <c r="A6" s="1">
        <v>44104</v>
      </c>
      <c r="B6">
        <f t="shared" si="0"/>
        <v>94</v>
      </c>
      <c r="C6" s="13">
        <f>IF(A6="","",VLOOKUP(A6,YF_Spot[#All],5,))</f>
        <v>115.81</v>
      </c>
      <c r="D6" s="12">
        <f t="shared" si="1"/>
        <v>1.4963306588008254E-2</v>
      </c>
      <c r="E6" s="17">
        <f t="shared" si="5"/>
        <v>4.7935309427731243E-4</v>
      </c>
      <c r="F6" s="12">
        <f t="shared" si="2"/>
        <v>2.1894133786868858E-2</v>
      </c>
      <c r="G6" s="13">
        <f t="shared" si="3"/>
        <v>110.73888073228544</v>
      </c>
      <c r="H6" s="13">
        <f t="shared" si="4"/>
        <v>120.88111926771457</v>
      </c>
    </row>
    <row r="7" spans="1:16" x14ac:dyDescent="0.3">
      <c r="A7" s="1">
        <v>44105</v>
      </c>
      <c r="B7">
        <f t="shared" si="0"/>
        <v>93</v>
      </c>
      <c r="C7" s="13">
        <f>IF(A7="","",VLOOKUP(A7,YF_Spot[#All],5,))</f>
        <v>116.79</v>
      </c>
      <c r="D7" s="12">
        <f t="shared" si="1"/>
        <v>8.4265330941876888E-3</v>
      </c>
      <c r="E7" s="17">
        <f t="shared" si="5"/>
        <v>4.6402594126347755E-4</v>
      </c>
      <c r="F7" s="12">
        <f t="shared" si="2"/>
        <v>2.1541261366583842E-2</v>
      </c>
      <c r="G7" s="13">
        <f t="shared" si="3"/>
        <v>111.75839216999334</v>
      </c>
      <c r="H7" s="13">
        <f t="shared" si="4"/>
        <v>121.82160783000667</v>
      </c>
    </row>
    <row r="8" spans="1:16" x14ac:dyDescent="0.3">
      <c r="A8" s="1">
        <v>44106</v>
      </c>
      <c r="B8">
        <f t="shared" si="0"/>
        <v>92</v>
      </c>
      <c r="C8" s="13">
        <f>IF(A8="","",VLOOKUP(A8,YF_Spot[#All],5,))</f>
        <v>113.02</v>
      </c>
      <c r="D8" s="12">
        <f t="shared" si="1"/>
        <v>-3.2812656088776926E-2</v>
      </c>
      <c r="E8" s="17">
        <f t="shared" si="5"/>
        <v>4.4044477238691529E-4</v>
      </c>
      <c r="F8" s="12">
        <f t="shared" si="2"/>
        <v>2.0986776131338404E-2</v>
      </c>
      <c r="G8" s="13">
        <f t="shared" si="3"/>
        <v>108.27614912327226</v>
      </c>
      <c r="H8" s="13">
        <f t="shared" si="4"/>
        <v>117.76385087672772</v>
      </c>
    </row>
    <row r="9" spans="1:16" x14ac:dyDescent="0.3">
      <c r="A9" s="1">
        <v>44109</v>
      </c>
      <c r="B9">
        <f t="shared" si="0"/>
        <v>91</v>
      </c>
      <c r="C9" s="13">
        <f>IF(A9="","",VLOOKUP(A9,YF_Spot[#All],5,))</f>
        <v>116.5</v>
      </c>
      <c r="D9" s="12">
        <f t="shared" si="1"/>
        <v>3.0326478804057942E-2</v>
      </c>
      <c r="E9" s="17">
        <f t="shared" si="5"/>
        <v>4.7861831001972137E-4</v>
      </c>
      <c r="F9" s="12">
        <f t="shared" si="2"/>
        <v>2.1877346960262833E-2</v>
      </c>
      <c r="G9" s="13">
        <f t="shared" si="3"/>
        <v>111.40257815825876</v>
      </c>
      <c r="H9" s="13">
        <f t="shared" si="4"/>
        <v>121.59742184174125</v>
      </c>
    </row>
    <row r="10" spans="1:16" x14ac:dyDescent="0.3">
      <c r="A10" s="1">
        <v>44110</v>
      </c>
      <c r="B10">
        <f t="shared" si="0"/>
        <v>90</v>
      </c>
      <c r="C10" s="13">
        <f>IF(A10="","",VLOOKUP(A10,YF_Spot[#All],5,))</f>
        <v>113.16</v>
      </c>
      <c r="D10" s="12">
        <f t="shared" si="1"/>
        <v>-2.9088526572388838E-2</v>
      </c>
      <c r="E10" s="17">
        <f t="shared" si="5"/>
        <v>5.0508293041771663E-4</v>
      </c>
      <c r="F10" s="12">
        <f t="shared" si="2"/>
        <v>2.2474050156073708E-2</v>
      </c>
      <c r="G10" s="13">
        <f t="shared" si="3"/>
        <v>108.07367296867739</v>
      </c>
      <c r="H10" s="13">
        <f t="shared" si="4"/>
        <v>118.24632703132261</v>
      </c>
    </row>
    <row r="11" spans="1:16" x14ac:dyDescent="0.3">
      <c r="A11" s="1">
        <v>44111</v>
      </c>
      <c r="B11">
        <f t="shared" si="0"/>
        <v>89</v>
      </c>
      <c r="C11" s="13">
        <f>IF(A11="","",VLOOKUP(A11,YF_Spot[#All],5,))</f>
        <v>115.08</v>
      </c>
      <c r="D11" s="12">
        <f t="shared" si="1"/>
        <v>1.6824792249980777E-2</v>
      </c>
      <c r="E11" s="17">
        <f t="shared" si="5"/>
        <v>5.2554649728180796E-4</v>
      </c>
      <c r="F11" s="12">
        <f t="shared" si="2"/>
        <v>2.2924800921312445E-2</v>
      </c>
      <c r="G11" s="13">
        <f t="shared" si="3"/>
        <v>109.80362781995073</v>
      </c>
      <c r="H11" s="13">
        <f t="shared" si="4"/>
        <v>120.35637218004926</v>
      </c>
    </row>
    <row r="12" spans="1:16" x14ac:dyDescent="0.3">
      <c r="A12" s="1">
        <v>44112</v>
      </c>
      <c r="B12">
        <f t="shared" si="0"/>
        <v>88</v>
      </c>
      <c r="C12" s="13">
        <f>IF(A12="","",VLOOKUP(A12,YF_Spot[#All],5,))</f>
        <v>114.97</v>
      </c>
      <c r="D12" s="12">
        <f t="shared" si="1"/>
        <v>-9.5631391769834763E-4</v>
      </c>
      <c r="E12" s="17">
        <f t="shared" si="5"/>
        <v>5.1099812550020032E-4</v>
      </c>
      <c r="F12" s="12">
        <f t="shared" si="2"/>
        <v>2.2605267649382088E-2</v>
      </c>
      <c r="G12" s="13">
        <f t="shared" si="3"/>
        <v>109.77214475670108</v>
      </c>
      <c r="H12" s="13">
        <f t="shared" si="4"/>
        <v>120.16785524329892</v>
      </c>
    </row>
    <row r="13" spans="1:16" x14ac:dyDescent="0.3">
      <c r="A13" s="1">
        <v>44113</v>
      </c>
      <c r="B13">
        <f t="shared" si="0"/>
        <v>87</v>
      </c>
      <c r="C13" s="13">
        <f>IF(A13="","",VLOOKUP(A13,YF_Spot[#All],5,))</f>
        <v>116.97</v>
      </c>
      <c r="D13" s="12">
        <f t="shared" si="1"/>
        <v>1.7246266896966875E-2</v>
      </c>
      <c r="E13" s="17">
        <f t="shared" si="5"/>
        <v>4.8039311014873927E-4</v>
      </c>
      <c r="F13" s="12">
        <f t="shared" si="2"/>
        <v>2.1917871934764546E-2</v>
      </c>
      <c r="G13" s="13">
        <f t="shared" si="3"/>
        <v>111.84253303958118</v>
      </c>
      <c r="H13" s="13">
        <f t="shared" si="4"/>
        <v>122.09746696041883</v>
      </c>
    </row>
    <row r="14" spans="1:16" x14ac:dyDescent="0.3">
      <c r="A14" s="1">
        <v>44116</v>
      </c>
      <c r="B14">
        <f t="shared" si="0"/>
        <v>86</v>
      </c>
      <c r="C14" s="13">
        <f>IF(A14="","",VLOOKUP(A14,YF_Spot[#All],5,))</f>
        <v>124.4</v>
      </c>
      <c r="D14" s="12">
        <f t="shared" si="1"/>
        <v>6.1584688642463428E-2</v>
      </c>
      <c r="E14" s="17">
        <f t="shared" si="5"/>
        <v>4.6941554685269983E-4</v>
      </c>
      <c r="F14" s="12">
        <f t="shared" si="2"/>
        <v>2.1665999788901963E-2</v>
      </c>
      <c r="G14" s="13">
        <f t="shared" si="3"/>
        <v>119.00949925252121</v>
      </c>
      <c r="H14" s="13">
        <f t="shared" si="4"/>
        <v>129.7905007474788</v>
      </c>
    </row>
    <row r="15" spans="1:16" x14ac:dyDescent="0.3">
      <c r="A15" s="1">
        <v>44117</v>
      </c>
      <c r="B15">
        <f t="shared" si="0"/>
        <v>85</v>
      </c>
      <c r="C15" s="13">
        <f>IF(A15="","",VLOOKUP(A15,YF_Spot[#All],5,))</f>
        <v>121.1</v>
      </c>
      <c r="D15" s="12">
        <f t="shared" si="1"/>
        <v>-2.6885529746032626E-2</v>
      </c>
      <c r="E15" s="17">
        <f t="shared" si="5"/>
        <v>6.688110465528879E-4</v>
      </c>
      <c r="F15" s="12">
        <f t="shared" si="2"/>
        <v>2.5861381373640656E-2</v>
      </c>
      <c r="G15" s="13">
        <f t="shared" si="3"/>
        <v>114.83637343130424</v>
      </c>
      <c r="H15" s="13">
        <f t="shared" si="4"/>
        <v>127.36362656869576</v>
      </c>
    </row>
    <row r="16" spans="1:16" x14ac:dyDescent="0.3">
      <c r="A16" s="1">
        <v>44118</v>
      </c>
      <c r="B16">
        <f t="shared" si="0"/>
        <v>84</v>
      </c>
      <c r="C16" s="13">
        <f>IF(A16="","",VLOOKUP(A16,YF_Spot[#All],5,))</f>
        <v>121.19</v>
      </c>
      <c r="D16" s="12">
        <f t="shared" si="1"/>
        <v>7.429114213495585E-4</v>
      </c>
      <c r="E16" s="17">
        <f t="shared" si="5"/>
        <v>6.7205228634320297E-4</v>
      </c>
      <c r="F16" s="12">
        <f t="shared" si="2"/>
        <v>2.5923971268754387E-2</v>
      </c>
      <c r="G16" s="13">
        <f t="shared" si="3"/>
        <v>114.90654784387931</v>
      </c>
      <c r="H16" s="13">
        <f t="shared" si="4"/>
        <v>127.47345215612067</v>
      </c>
    </row>
    <row r="17" spans="1:8" x14ac:dyDescent="0.3">
      <c r="A17" s="1">
        <v>44119</v>
      </c>
      <c r="B17">
        <f t="shared" si="0"/>
        <v>83</v>
      </c>
      <c r="C17" s="13">
        <f>IF(A17="","",VLOOKUP(A17,YF_Spot[#All],5,))</f>
        <v>120.71</v>
      </c>
      <c r="D17" s="12">
        <f t="shared" si="1"/>
        <v>-3.9685872673603352E-3</v>
      </c>
      <c r="E17" s="17">
        <f t="shared" si="5"/>
        <v>6.3176226420540908E-4</v>
      </c>
      <c r="F17" s="12">
        <f t="shared" si="2"/>
        <v>2.513488142413664E-2</v>
      </c>
      <c r="G17" s="13">
        <f t="shared" si="3"/>
        <v>114.64193692658492</v>
      </c>
      <c r="H17" s="13">
        <f t="shared" si="4"/>
        <v>126.77806307341507</v>
      </c>
    </row>
    <row r="18" spans="1:8" x14ac:dyDescent="0.3">
      <c r="A18" s="1">
        <v>44120</v>
      </c>
      <c r="B18">
        <f t="shared" si="0"/>
        <v>82</v>
      </c>
      <c r="C18" s="13">
        <f>IF(A18="","",VLOOKUP(A18,YF_Spot[#All],5,))</f>
        <v>119.02</v>
      </c>
      <c r="D18" s="12">
        <f t="shared" si="1"/>
        <v>-1.4099428496329657E-2</v>
      </c>
      <c r="E18" s="17">
        <f t="shared" si="5"/>
        <v>5.9480150944700373E-4</v>
      </c>
      <c r="F18" s="12">
        <f t="shared" si="2"/>
        <v>2.4388552836259139E-2</v>
      </c>
      <c r="G18" s="13">
        <f t="shared" si="3"/>
        <v>113.21454888285687</v>
      </c>
      <c r="H18" s="13">
        <f t="shared" si="4"/>
        <v>124.82545111714313</v>
      </c>
    </row>
    <row r="19" spans="1:8" x14ac:dyDescent="0.3">
      <c r="A19" s="1">
        <v>44123</v>
      </c>
      <c r="B19">
        <f t="shared" si="0"/>
        <v>81</v>
      </c>
      <c r="C19" s="13">
        <f>IF(A19="","",VLOOKUP(A19,YF_Spot[#All],5,))</f>
        <v>115.98</v>
      </c>
      <c r="D19" s="12">
        <f t="shared" si="1"/>
        <v>-2.5873783768411363E-2</v>
      </c>
      <c r="E19" s="17">
        <f t="shared" si="5"/>
        <v>5.7104105191557026E-4</v>
      </c>
      <c r="F19" s="12">
        <f t="shared" si="2"/>
        <v>2.389646525985737E-2</v>
      </c>
      <c r="G19" s="13">
        <f t="shared" si="3"/>
        <v>110.43697591832348</v>
      </c>
      <c r="H19" s="13">
        <f t="shared" si="4"/>
        <v>121.52302408167651</v>
      </c>
    </row>
    <row r="20" spans="1:8" x14ac:dyDescent="0.3">
      <c r="A20" s="1">
        <v>44124</v>
      </c>
      <c r="B20">
        <f t="shared" si="0"/>
        <v>80</v>
      </c>
      <c r="C20" s="13">
        <f>IF(A20="","",VLOOKUP(A20,YF_Spot[#All],5,))</f>
        <v>117.51</v>
      </c>
      <c r="D20" s="12">
        <f t="shared" si="1"/>
        <v>1.3105673897555029E-2</v>
      </c>
      <c r="E20" s="17">
        <f t="shared" si="5"/>
        <v>5.7694574999030644E-4</v>
      </c>
      <c r="F20" s="12">
        <f t="shared" si="2"/>
        <v>2.4019695043657537E-2</v>
      </c>
      <c r="G20" s="13">
        <f t="shared" si="3"/>
        <v>111.86489127083961</v>
      </c>
      <c r="H20" s="13">
        <f t="shared" si="4"/>
        <v>123.1551087291604</v>
      </c>
    </row>
    <row r="21" spans="1:8" x14ac:dyDescent="0.3">
      <c r="A21" s="1">
        <v>44125</v>
      </c>
      <c r="B21">
        <f t="shared" si="0"/>
        <v>79</v>
      </c>
      <c r="C21" s="13">
        <f>IF(A21="","",VLOOKUP(A21,YF_Spot[#All],5,))</f>
        <v>116.87</v>
      </c>
      <c r="D21" s="12">
        <f t="shared" si="1"/>
        <v>-5.4612304007839469E-3</v>
      </c>
      <c r="E21" s="17">
        <f t="shared" si="5"/>
        <v>5.526345262894314E-4</v>
      </c>
      <c r="F21" s="12">
        <f t="shared" si="2"/>
        <v>2.350817998674996E-2</v>
      </c>
      <c r="G21" s="13">
        <f t="shared" si="3"/>
        <v>111.37519800989706</v>
      </c>
      <c r="H21" s="13">
        <f t="shared" si="4"/>
        <v>122.36480199010293</v>
      </c>
    </row>
    <row r="22" spans="1:8" x14ac:dyDescent="0.3">
      <c r="A22" s="1">
        <v>44126</v>
      </c>
      <c r="B22">
        <f t="shared" si="0"/>
        <v>78</v>
      </c>
      <c r="C22" s="13">
        <f>IF(A22="","",VLOOKUP(A22,YF_Spot[#All],5,))</f>
        <v>115.75</v>
      </c>
      <c r="D22" s="12">
        <f t="shared" si="1"/>
        <v>-9.6295129787222315E-3</v>
      </c>
      <c r="E22" s="17">
        <f t="shared" si="5"/>
        <v>5.2126595696149229E-4</v>
      </c>
      <c r="F22" s="12">
        <f t="shared" si="2"/>
        <v>2.2831249570741684E-2</v>
      </c>
      <c r="G22" s="13">
        <f t="shared" si="3"/>
        <v>110.4645657243733</v>
      </c>
      <c r="H22" s="13">
        <f t="shared" si="4"/>
        <v>121.0354342756267</v>
      </c>
    </row>
    <row r="23" spans="1:8" x14ac:dyDescent="0.3">
      <c r="A23" s="1">
        <v>44127</v>
      </c>
      <c r="B23">
        <f t="shared" si="0"/>
        <v>77</v>
      </c>
      <c r="C23" s="13">
        <f>IF(A23="","",VLOOKUP(A23,YF_Spot[#All],5,))</f>
        <v>115.04</v>
      </c>
      <c r="D23" s="12">
        <f t="shared" si="1"/>
        <v>-6.1527989936068662E-3</v>
      </c>
      <c r="E23" s="17">
        <f t="shared" si="5"/>
        <v>4.9555365075624547E-4</v>
      </c>
      <c r="F23" s="12">
        <f t="shared" si="2"/>
        <v>2.2261034359531577E-2</v>
      </c>
      <c r="G23" s="13">
        <f t="shared" si="3"/>
        <v>109.91818121455898</v>
      </c>
      <c r="H23" s="13">
        <f t="shared" si="4"/>
        <v>120.16181878544101</v>
      </c>
    </row>
    <row r="24" spans="1:8" x14ac:dyDescent="0.3">
      <c r="A24" s="1">
        <v>44130</v>
      </c>
      <c r="B24">
        <f t="shared" si="0"/>
        <v>76</v>
      </c>
      <c r="C24" s="13">
        <f>IF(A24="","",VLOOKUP(A24,YF_Spot[#All],5,))</f>
        <v>115.05</v>
      </c>
      <c r="D24" s="12">
        <f t="shared" si="1"/>
        <v>8.692250863814551E-5</v>
      </c>
      <c r="E24" s="17">
        <f t="shared" si="5"/>
        <v>4.6809184783821447E-4</v>
      </c>
      <c r="F24" s="12">
        <f t="shared" si="2"/>
        <v>2.1635430382551082E-2</v>
      </c>
      <c r="G24" s="13">
        <f t="shared" si="3"/>
        <v>110.071687468975</v>
      </c>
      <c r="H24" s="13">
        <f t="shared" si="4"/>
        <v>120.02831253102501</v>
      </c>
    </row>
    <row r="25" spans="1:8" x14ac:dyDescent="0.3">
      <c r="A25" s="1">
        <v>44131</v>
      </c>
      <c r="B25">
        <f t="shared" si="0"/>
        <v>75</v>
      </c>
      <c r="C25" s="13">
        <f>IF(A25="","",VLOOKUP(A25,YF_Spot[#All],5,))</f>
        <v>116.6</v>
      </c>
      <c r="D25" s="12">
        <f t="shared" si="1"/>
        <v>1.3382457435017005E-2</v>
      </c>
      <c r="E25" s="17">
        <f t="shared" si="5"/>
        <v>4.4000679029927204E-4</v>
      </c>
      <c r="F25" s="12">
        <f t="shared" si="2"/>
        <v>2.0976338820186711E-2</v>
      </c>
      <c r="G25" s="13">
        <f t="shared" si="3"/>
        <v>111.70831778713244</v>
      </c>
      <c r="H25" s="13">
        <f t="shared" si="4"/>
        <v>121.49168221286753</v>
      </c>
    </row>
    <row r="26" spans="1:8" x14ac:dyDescent="0.3">
      <c r="A26" s="1">
        <v>44132</v>
      </c>
      <c r="B26">
        <f t="shared" si="0"/>
        <v>74</v>
      </c>
      <c r="C26" s="13">
        <f>IF(A26="","",VLOOKUP(A26,YF_Spot[#All],5,))</f>
        <v>111.2</v>
      </c>
      <c r="D26" s="12">
        <f t="shared" si="1"/>
        <v>-4.7418892099909918E-2</v>
      </c>
      <c r="E26" s="17">
        <f t="shared" si="5"/>
        <v>4.2435179290131823E-4</v>
      </c>
      <c r="F26" s="12">
        <f t="shared" si="2"/>
        <v>2.059980079761254E-2</v>
      </c>
      <c r="G26" s="13">
        <f t="shared" si="3"/>
        <v>106.61860430261098</v>
      </c>
      <c r="H26" s="13">
        <f t="shared" si="4"/>
        <v>115.78139569738904</v>
      </c>
    </row>
    <row r="27" spans="1:8" x14ac:dyDescent="0.3">
      <c r="A27" s="1">
        <v>44133</v>
      </c>
      <c r="B27">
        <f t="shared" si="0"/>
        <v>73</v>
      </c>
      <c r="C27" s="13">
        <f>IF(A27="","",VLOOKUP(A27,YF_Spot[#All],5,))</f>
        <v>115.32</v>
      </c>
      <c r="D27" s="12">
        <f t="shared" si="1"/>
        <v>3.6380490953719251E-2</v>
      </c>
      <c r="E27" s="17">
        <f t="shared" si="5"/>
        <v>5.3380376500621323E-4</v>
      </c>
      <c r="F27" s="12">
        <f t="shared" si="2"/>
        <v>2.3104193667085923E-2</v>
      </c>
      <c r="G27" s="13">
        <f t="shared" si="3"/>
        <v>109.99124877262329</v>
      </c>
      <c r="H27" s="13">
        <f t="shared" si="4"/>
        <v>120.64875122737669</v>
      </c>
    </row>
    <row r="28" spans="1:8" x14ac:dyDescent="0.3">
      <c r="A28" s="1">
        <v>44134</v>
      </c>
      <c r="B28">
        <f t="shared" si="0"/>
        <v>72</v>
      </c>
      <c r="C28" s="13">
        <f>IF(A28="","",VLOOKUP(A28,YF_Spot[#All],5,))</f>
        <v>108.86</v>
      </c>
      <c r="D28" s="12">
        <f t="shared" si="1"/>
        <v>-5.7648219764147385E-2</v>
      </c>
      <c r="E28" s="17">
        <f t="shared" si="5"/>
        <v>5.811879464278593E-4</v>
      </c>
      <c r="F28" s="12">
        <f t="shared" si="2"/>
        <v>2.410783993699683E-2</v>
      </c>
      <c r="G28" s="13">
        <f t="shared" si="3"/>
        <v>103.61124108891705</v>
      </c>
      <c r="H28" s="13">
        <f t="shared" si="4"/>
        <v>114.10875891108294</v>
      </c>
    </row>
    <row r="29" spans="1:8" x14ac:dyDescent="0.3">
      <c r="A29" s="1">
        <v>44137</v>
      </c>
      <c r="B29">
        <f t="shared" si="0"/>
        <v>71</v>
      </c>
      <c r="C29" s="13">
        <f>IF(A29="","",VLOOKUP(A29,YF_Spot[#All],5,))</f>
        <v>108.77</v>
      </c>
      <c r="D29" s="12">
        <f t="shared" si="1"/>
        <v>-8.2709190029512389E-4</v>
      </c>
      <c r="E29" s="17">
        <f t="shared" si="5"/>
        <v>7.4571570416071399E-4</v>
      </c>
      <c r="F29" s="12">
        <f t="shared" si="2"/>
        <v>2.7307795666452354E-2</v>
      </c>
      <c r="G29" s="13">
        <f t="shared" si="3"/>
        <v>102.82946213071995</v>
      </c>
      <c r="H29" s="13">
        <f t="shared" si="4"/>
        <v>114.71053786928005</v>
      </c>
    </row>
    <row r="30" spans="1:8" x14ac:dyDescent="0.3">
      <c r="A30" s="1">
        <v>44138</v>
      </c>
      <c r="B30">
        <f t="shared" si="0"/>
        <v>70</v>
      </c>
      <c r="C30" s="13">
        <f>IF(A30="","",VLOOKUP(A30,YF_Spot[#All],5,))</f>
        <v>110.44</v>
      </c>
      <c r="D30" s="12">
        <f t="shared" si="1"/>
        <v>1.5236825956194834E-2</v>
      </c>
      <c r="E30" s="17">
        <f t="shared" si="5"/>
        <v>7.0101380677176312E-4</v>
      </c>
      <c r="F30" s="12">
        <f t="shared" si="2"/>
        <v>2.6476665325749826E-2</v>
      </c>
      <c r="G30" s="13">
        <f t="shared" si="3"/>
        <v>104.59183416284837</v>
      </c>
      <c r="H30" s="13">
        <f t="shared" si="4"/>
        <v>116.28816583715161</v>
      </c>
    </row>
    <row r="31" spans="1:8" x14ac:dyDescent="0.3">
      <c r="A31" s="1">
        <v>44139</v>
      </c>
      <c r="B31">
        <f t="shared" si="0"/>
        <v>69</v>
      </c>
      <c r="C31" s="13">
        <f>IF(A31="","",VLOOKUP(A31,YF_Spot[#All],5,))</f>
        <v>114.95</v>
      </c>
      <c r="D31" s="12">
        <f t="shared" si="1"/>
        <v>4.0024864147236841E-2</v>
      </c>
      <c r="E31" s="17">
        <f t="shared" si="5"/>
        <v>6.7288263027861963E-4</v>
      </c>
      <c r="F31" s="12">
        <f t="shared" si="2"/>
        <v>2.5939981308370667E-2</v>
      </c>
      <c r="G31" s="13">
        <f t="shared" si="3"/>
        <v>108.98639829720558</v>
      </c>
      <c r="H31" s="13">
        <f t="shared" si="4"/>
        <v>120.91360170279444</v>
      </c>
    </row>
    <row r="32" spans="1:8" x14ac:dyDescent="0.3">
      <c r="A32" s="1">
        <v>44140</v>
      </c>
      <c r="B32">
        <f t="shared" si="0"/>
        <v>68</v>
      </c>
      <c r="C32" s="13">
        <f>IF(A32="","",VLOOKUP(A32,YF_Spot[#All],5,))</f>
        <v>119.03</v>
      </c>
      <c r="D32" s="12">
        <f t="shared" si="1"/>
        <v>3.4878310970597737E-2</v>
      </c>
      <c r="E32" s="17">
        <f t="shared" si="5"/>
        <v>7.2862905746218839E-4</v>
      </c>
      <c r="F32" s="12">
        <f t="shared" si="2"/>
        <v>2.6993129819681681E-2</v>
      </c>
      <c r="G32" s="13">
        <f t="shared" si="3"/>
        <v>112.60401551512659</v>
      </c>
      <c r="H32" s="13">
        <f t="shared" si="4"/>
        <v>125.45598448487343</v>
      </c>
    </row>
    <row r="33" spans="1:8" x14ac:dyDescent="0.3">
      <c r="A33" s="1">
        <v>44141</v>
      </c>
      <c r="B33">
        <f t="shared" si="0"/>
        <v>67</v>
      </c>
      <c r="C33" s="13">
        <f>IF(A33="","",VLOOKUP(A33,YF_Spot[#All],5,))</f>
        <v>118.69</v>
      </c>
      <c r="D33" s="12">
        <f t="shared" si="1"/>
        <v>-2.8605101113745621E-3</v>
      </c>
      <c r="E33" s="17">
        <f t="shared" si="5"/>
        <v>7.5790110858416028E-4</v>
      </c>
      <c r="F33" s="12">
        <f t="shared" si="2"/>
        <v>2.753000378830632E-2</v>
      </c>
      <c r="G33" s="13">
        <f t="shared" si="3"/>
        <v>112.15492770073185</v>
      </c>
      <c r="H33" s="13">
        <f t="shared" si="4"/>
        <v>125.22507229926815</v>
      </c>
    </row>
    <row r="34" spans="1:8" x14ac:dyDescent="0.3">
      <c r="A34" s="1">
        <v>44144</v>
      </c>
      <c r="B34">
        <f t="shared" si="0"/>
        <v>66</v>
      </c>
      <c r="C34" s="13">
        <f>IF(A34="","",VLOOKUP(A34,YF_Spot[#All],5,))</f>
        <v>116.32</v>
      </c>
      <c r="D34" s="12">
        <f t="shared" si="1"/>
        <v>-2.017003828320468E-2</v>
      </c>
      <c r="E34" s="17">
        <f t="shared" si="5"/>
        <v>7.1291799315494715E-4</v>
      </c>
      <c r="F34" s="12">
        <f t="shared" si="2"/>
        <v>2.6700524211238759E-2</v>
      </c>
      <c r="G34" s="13">
        <f t="shared" si="3"/>
        <v>110.10839004749741</v>
      </c>
      <c r="H34" s="13">
        <f t="shared" si="4"/>
        <v>122.53160995250259</v>
      </c>
    </row>
    <row r="35" spans="1:8" x14ac:dyDescent="0.3">
      <c r="A35" s="1">
        <v>44145</v>
      </c>
      <c r="B35">
        <f t="shared" si="0"/>
        <v>65</v>
      </c>
      <c r="C35" s="13">
        <f>IF(A35="","",VLOOKUP(A35,YF_Spot[#All],5,))</f>
        <v>115.97</v>
      </c>
      <c r="D35" s="12">
        <f t="shared" si="1"/>
        <v>-3.0134768165973255E-3</v>
      </c>
      <c r="E35" s="17">
        <f t="shared" si="5"/>
        <v>6.9455274022640684E-4</v>
      </c>
      <c r="F35" s="12">
        <f t="shared" si="2"/>
        <v>2.6354368522626508E-2</v>
      </c>
      <c r="G35" s="13">
        <f t="shared" si="3"/>
        <v>109.857367764862</v>
      </c>
      <c r="H35" s="13">
        <f t="shared" si="4"/>
        <v>122.08263223513799</v>
      </c>
    </row>
    <row r="36" spans="1:8" x14ac:dyDescent="0.3">
      <c r="A36" s="1">
        <v>44146</v>
      </c>
      <c r="B36">
        <f t="shared" si="0"/>
        <v>64</v>
      </c>
      <c r="C36" s="13">
        <f>IF(A36="","",VLOOKUP(A36,YF_Spot[#All],5,))</f>
        <v>119.49</v>
      </c>
      <c r="D36" s="12">
        <f t="shared" si="1"/>
        <v>2.9901148893050636E-2</v>
      </c>
      <c r="E36" s="17">
        <f t="shared" si="5"/>
        <v>6.5342443836427261E-4</v>
      </c>
      <c r="F36" s="12">
        <f t="shared" si="2"/>
        <v>2.5562168107660051E-2</v>
      </c>
      <c r="G36" s="13">
        <f t="shared" si="3"/>
        <v>113.38115306563139</v>
      </c>
      <c r="H36" s="13">
        <f t="shared" si="4"/>
        <v>125.59884693436861</v>
      </c>
    </row>
    <row r="37" spans="1:8" x14ac:dyDescent="0.3">
      <c r="A37" s="1">
        <v>44147</v>
      </c>
      <c r="B37">
        <f t="shared" si="0"/>
        <v>63</v>
      </c>
      <c r="C37" s="13">
        <f>IF(A37="","",VLOOKUP(A37,YF_Spot[#All],5,))</f>
        <v>119.21</v>
      </c>
      <c r="D37" s="12">
        <f t="shared" si="1"/>
        <v>-2.3460421317523152E-3</v>
      </c>
      <c r="E37" s="17">
        <f t="shared" si="5"/>
        <v>6.6786369436987929E-4</v>
      </c>
      <c r="F37" s="12">
        <f t="shared" si="2"/>
        <v>2.5843058920527951E-2</v>
      </c>
      <c r="G37" s="13">
        <f t="shared" si="3"/>
        <v>113.04849789216772</v>
      </c>
      <c r="H37" s="13">
        <f t="shared" si="4"/>
        <v>125.37150210783227</v>
      </c>
    </row>
    <row r="38" spans="1:8" x14ac:dyDescent="0.3">
      <c r="A38" s="1">
        <v>44148</v>
      </c>
      <c r="B38">
        <f t="shared" si="0"/>
        <v>62</v>
      </c>
      <c r="C38" s="13">
        <f>IF(A38="","",VLOOKUP(A38,YF_Spot[#All],5,))</f>
        <v>119.26</v>
      </c>
      <c r="D38" s="12">
        <f t="shared" si="1"/>
        <v>4.1933996504968499E-4</v>
      </c>
      <c r="E38" s="17">
        <f t="shared" si="5"/>
        <v>6.2812210752872394E-4</v>
      </c>
      <c r="F38" s="12">
        <f t="shared" si="2"/>
        <v>2.5062364364295799E-2</v>
      </c>
      <c r="G38" s="13">
        <f t="shared" si="3"/>
        <v>113.28212485182817</v>
      </c>
      <c r="H38" s="13">
        <f t="shared" si="4"/>
        <v>125.23787514817182</v>
      </c>
    </row>
    <row r="39" spans="1:8" x14ac:dyDescent="0.3">
      <c r="A39" s="1">
        <v>44151</v>
      </c>
      <c r="B39">
        <f t="shared" si="0"/>
        <v>61</v>
      </c>
      <c r="C39" s="13">
        <f>IF(A39="","",VLOOKUP(A39,YF_Spot[#All],5,))</f>
        <v>120.3</v>
      </c>
      <c r="D39" s="12">
        <f t="shared" si="1"/>
        <v>8.6826392856732305E-3</v>
      </c>
      <c r="E39" s="17">
        <f t="shared" si="5"/>
        <v>5.9044533183737766E-4</v>
      </c>
      <c r="F39" s="12">
        <f t="shared" si="2"/>
        <v>2.4299080884621495E-2</v>
      </c>
      <c r="G39" s="13">
        <f t="shared" si="3"/>
        <v>114.45364113916006</v>
      </c>
      <c r="H39" s="13">
        <f t="shared" si="4"/>
        <v>126.14635886083994</v>
      </c>
    </row>
    <row r="40" spans="1:8" x14ac:dyDescent="0.3">
      <c r="A40" s="1">
        <v>44152</v>
      </c>
      <c r="B40">
        <f t="shared" si="0"/>
        <v>60</v>
      </c>
      <c r="C40" s="13">
        <f>IF(A40="","",VLOOKUP(A40,YF_Spot[#All],5,))</f>
        <v>119.39</v>
      </c>
      <c r="D40" s="12">
        <f t="shared" si="1"/>
        <v>-7.5931776233362398E-3</v>
      </c>
      <c r="E40" s="17">
        <f t="shared" si="5"/>
        <v>5.595419054250419E-4</v>
      </c>
      <c r="F40" s="12">
        <f t="shared" si="2"/>
        <v>2.3654638137689653E-2</v>
      </c>
      <c r="G40" s="13">
        <f t="shared" si="3"/>
        <v>113.74174550548247</v>
      </c>
      <c r="H40" s="13">
        <f t="shared" si="4"/>
        <v>125.03825449451753</v>
      </c>
    </row>
    <row r="41" spans="1:8" x14ac:dyDescent="0.3">
      <c r="A41" s="1">
        <v>44153</v>
      </c>
      <c r="B41">
        <f t="shared" si="0"/>
        <v>59</v>
      </c>
      <c r="C41" s="13">
        <f>IF(A41="","",VLOOKUP(A41,YF_Spot[#All],5,))</f>
        <v>118.03</v>
      </c>
      <c r="D41" s="12">
        <f t="shared" si="1"/>
        <v>-1.1456615916319227E-2</v>
      </c>
      <c r="E41" s="17">
        <f t="shared" si="5"/>
        <v>5.2942877188471139E-4</v>
      </c>
      <c r="F41" s="12">
        <f t="shared" si="2"/>
        <v>2.3009319239923449E-2</v>
      </c>
      <c r="G41" s="13">
        <f t="shared" si="3"/>
        <v>112.59842010022368</v>
      </c>
      <c r="H41" s="13">
        <f t="shared" si="4"/>
        <v>123.46157989977632</v>
      </c>
    </row>
    <row r="42" spans="1:8" x14ac:dyDescent="0.3">
      <c r="A42" s="1">
        <v>44154</v>
      </c>
      <c r="B42">
        <f t="shared" si="0"/>
        <v>58</v>
      </c>
      <c r="C42" s="13">
        <f>IF(A42="","",VLOOKUP(A42,YF_Spot[#All],5,))</f>
        <v>118.64</v>
      </c>
      <c r="D42" s="12">
        <f t="shared" si="1"/>
        <v>5.1548683886990677E-3</v>
      </c>
      <c r="E42" s="17">
        <f t="shared" si="5"/>
        <v>5.0553828846687228E-4</v>
      </c>
      <c r="F42" s="12">
        <f t="shared" si="2"/>
        <v>2.2484178625577413E-2</v>
      </c>
      <c r="G42" s="13">
        <f t="shared" si="3"/>
        <v>113.30495409572299</v>
      </c>
      <c r="H42" s="13">
        <f t="shared" si="4"/>
        <v>123.97504590427701</v>
      </c>
    </row>
    <row r="43" spans="1:8" x14ac:dyDescent="0.3">
      <c r="A43" s="1">
        <v>44155</v>
      </c>
      <c r="B43">
        <f t="shared" si="0"/>
        <v>57</v>
      </c>
      <c r="C43" s="13">
        <f>IF(A43="","",VLOOKUP(A43,YF_Spot[#All],5,))</f>
        <v>117.34</v>
      </c>
      <c r="D43" s="12">
        <f t="shared" si="1"/>
        <v>-1.1017994331962823E-2</v>
      </c>
      <c r="E43" s="17">
        <f t="shared" si="5"/>
        <v>4.7680035124514846E-4</v>
      </c>
      <c r="F43" s="12">
        <f t="shared" si="2"/>
        <v>2.1835758545220005E-2</v>
      </c>
      <c r="G43" s="13">
        <f t="shared" si="3"/>
        <v>112.21558418460776</v>
      </c>
      <c r="H43" s="13">
        <f t="shared" si="4"/>
        <v>122.46441581539224</v>
      </c>
    </row>
    <row r="44" spans="1:8" x14ac:dyDescent="0.3">
      <c r="A44" s="1">
        <v>44158</v>
      </c>
      <c r="B44">
        <f t="shared" si="0"/>
        <v>56</v>
      </c>
      <c r="C44" s="13">
        <f>IF(A44="","",VLOOKUP(A44,YF_Spot[#All],5,))</f>
        <v>113.85</v>
      </c>
      <c r="D44" s="12">
        <f t="shared" si="1"/>
        <v>-3.019391098796528E-2</v>
      </c>
      <c r="E44" s="17">
        <f t="shared" si="5"/>
        <v>4.5547610211638941E-4</v>
      </c>
      <c r="F44" s="12">
        <f t="shared" si="2"/>
        <v>2.1341886095572467E-2</v>
      </c>
      <c r="G44" s="13">
        <f t="shared" si="3"/>
        <v>108.99045253603815</v>
      </c>
      <c r="H44" s="13">
        <f t="shared" si="4"/>
        <v>118.70954746396183</v>
      </c>
    </row>
    <row r="45" spans="1:8" x14ac:dyDescent="0.3">
      <c r="A45" s="1">
        <v>44159</v>
      </c>
      <c r="B45">
        <f t="shared" si="0"/>
        <v>55</v>
      </c>
      <c r="C45" s="13">
        <f>IF(A45="","",VLOOKUP(A45,YF_Spot[#All],5,))</f>
        <v>115.17</v>
      </c>
      <c r="D45" s="12">
        <f t="shared" si="1"/>
        <v>1.1527505171067414E-2</v>
      </c>
      <c r="E45" s="17">
        <f t="shared" si="5"/>
        <v>4.8284787163435633E-4</v>
      </c>
      <c r="F45" s="12">
        <f t="shared" si="2"/>
        <v>2.1973799663106888E-2</v>
      </c>
      <c r="G45" s="13">
        <f t="shared" si="3"/>
        <v>110.10855498559997</v>
      </c>
      <c r="H45" s="13">
        <f t="shared" si="4"/>
        <v>120.23144501440004</v>
      </c>
    </row>
    <row r="46" spans="1:8" x14ac:dyDescent="0.3">
      <c r="A46" s="1">
        <v>44160</v>
      </c>
      <c r="B46">
        <f t="shared" si="0"/>
        <v>54</v>
      </c>
      <c r="C46" s="13">
        <f>IF(A46="","",VLOOKUP(A46,YF_Spot[#All],5,))</f>
        <v>116.03</v>
      </c>
      <c r="D46" s="12">
        <f t="shared" si="1"/>
        <v>7.4394806786380616E-3</v>
      </c>
      <c r="E46" s="17">
        <f t="shared" si="5"/>
        <v>4.6185000186443409E-4</v>
      </c>
      <c r="F46" s="12">
        <f t="shared" si="2"/>
        <v>2.1490695704523714E-2</v>
      </c>
      <c r="G46" s="13">
        <f t="shared" si="3"/>
        <v>111.04286915480823</v>
      </c>
      <c r="H46" s="13">
        <f t="shared" si="4"/>
        <v>121.01713084519176</v>
      </c>
    </row>
    <row r="47" spans="1:8" x14ac:dyDescent="0.3">
      <c r="A47" s="1">
        <v>44162</v>
      </c>
      <c r="B47">
        <f t="shared" si="0"/>
        <v>53</v>
      </c>
      <c r="C47" s="13">
        <f>IF(A47="","",VLOOKUP(A47,YF_Spot[#All],5,))</f>
        <v>116.59</v>
      </c>
      <c r="D47" s="12">
        <f t="shared" si="1"/>
        <v>4.8147285857458909E-3</v>
      </c>
      <c r="E47" s="17">
        <f t="shared" si="5"/>
        <v>4.3745975411863778E-4</v>
      </c>
      <c r="F47" s="12">
        <f t="shared" si="2"/>
        <v>2.0915538580649502E-2</v>
      </c>
      <c r="G47" s="13">
        <f t="shared" si="3"/>
        <v>111.71291471376415</v>
      </c>
      <c r="H47" s="13">
        <f t="shared" si="4"/>
        <v>121.46708528623586</v>
      </c>
    </row>
    <row r="48" spans="1:8" x14ac:dyDescent="0.3">
      <c r="A48" s="1">
        <v>44165</v>
      </c>
      <c r="B48">
        <f t="shared" si="0"/>
        <v>52</v>
      </c>
      <c r="C48" s="13">
        <f>IF(A48="","",VLOOKUP(A48,YF_Spot[#All],5,))</f>
        <v>119.05</v>
      </c>
      <c r="D48" s="12">
        <f t="shared" si="1"/>
        <v>2.088006598767175E-2</v>
      </c>
      <c r="E48" s="17">
        <f t="shared" si="5"/>
        <v>4.1260306555278336E-4</v>
      </c>
      <c r="F48" s="12">
        <f t="shared" si="2"/>
        <v>2.0312633151632099E-2</v>
      </c>
      <c r="G48" s="13">
        <f t="shared" si="3"/>
        <v>114.21356204659639</v>
      </c>
      <c r="H48" s="13">
        <f t="shared" si="4"/>
        <v>123.8864379534036</v>
      </c>
    </row>
    <row r="49" spans="1:8" x14ac:dyDescent="0.3">
      <c r="A49" s="1">
        <v>44166</v>
      </c>
      <c r="B49">
        <f t="shared" si="0"/>
        <v>51</v>
      </c>
      <c r="C49" s="13">
        <f>IF(A49="","",VLOOKUP(A49,YF_Spot[#All],5,))</f>
        <v>122.72</v>
      </c>
      <c r="D49" s="12">
        <f t="shared" si="1"/>
        <v>3.0361764686074252E-2</v>
      </c>
      <c r="E49" s="17">
        <f t="shared" si="5"/>
        <v>4.14005510958588E-4</v>
      </c>
      <c r="F49" s="12">
        <f t="shared" si="2"/>
        <v>2.0347125373344217E-2</v>
      </c>
      <c r="G49" s="13">
        <f t="shared" si="3"/>
        <v>117.7260015483664</v>
      </c>
      <c r="H49" s="13">
        <f t="shared" si="4"/>
        <v>127.71399845163361</v>
      </c>
    </row>
    <row r="50" spans="1:8" x14ac:dyDescent="0.3">
      <c r="A50" s="1">
        <v>44167</v>
      </c>
      <c r="B50">
        <f t="shared" si="0"/>
        <v>50</v>
      </c>
      <c r="C50" s="13">
        <f>IF(A50="","",VLOOKUP(A50,YF_Spot[#All],5,))</f>
        <v>123.08</v>
      </c>
      <c r="D50" s="12">
        <f t="shared" si="1"/>
        <v>2.9292128348949288E-3</v>
      </c>
      <c r="E50" s="17">
        <f t="shared" si="5"/>
        <v>4.4447538559222547E-4</v>
      </c>
      <c r="F50" s="12">
        <f t="shared" si="2"/>
        <v>2.1082584888770767E-2</v>
      </c>
      <c r="G50" s="13">
        <f t="shared" si="3"/>
        <v>117.89031090378018</v>
      </c>
      <c r="H50" s="13">
        <f t="shared" si="4"/>
        <v>128.26968909621982</v>
      </c>
    </row>
    <row r="51" spans="1:8" x14ac:dyDescent="0.3">
      <c r="A51" s="1">
        <v>44168</v>
      </c>
      <c r="B51">
        <f t="shared" si="0"/>
        <v>49</v>
      </c>
      <c r="C51" s="13">
        <f>IF(A51="","",VLOOKUP(A51,YF_Spot[#All],5,))</f>
        <v>122.94</v>
      </c>
      <c r="D51" s="12">
        <f t="shared" si="1"/>
        <v>-1.1381189749777496E-3</v>
      </c>
      <c r="E51" s="17">
        <f t="shared" si="5"/>
        <v>4.1832167972661867E-4</v>
      </c>
      <c r="F51" s="12">
        <f t="shared" si="2"/>
        <v>2.0452913722172169E-2</v>
      </c>
      <c r="G51" s="13">
        <f t="shared" si="3"/>
        <v>117.9110375739923</v>
      </c>
      <c r="H51" s="13">
        <f t="shared" si="4"/>
        <v>127.96896242600769</v>
      </c>
    </row>
    <row r="52" spans="1:8" x14ac:dyDescent="0.3">
      <c r="A52" s="1">
        <v>44169</v>
      </c>
      <c r="B52">
        <f t="shared" si="0"/>
        <v>48</v>
      </c>
      <c r="C52" s="13">
        <f>IF(A52="","",VLOOKUP(A52,YF_Spot[#All],5,))</f>
        <v>122.25</v>
      </c>
      <c r="D52" s="12">
        <f t="shared" si="1"/>
        <v>-5.6283031238819952E-3</v>
      </c>
      <c r="E52" s="17">
        <f t="shared" si="5"/>
        <v>3.9330009783109378E-4</v>
      </c>
      <c r="F52" s="12">
        <f t="shared" si="2"/>
        <v>1.9831795123767634E-2</v>
      </c>
      <c r="G52" s="13">
        <f t="shared" si="3"/>
        <v>117.40112609223881</v>
      </c>
      <c r="H52" s="13">
        <f t="shared" si="4"/>
        <v>127.09887390776119</v>
      </c>
    </row>
    <row r="53" spans="1:8" x14ac:dyDescent="0.3">
      <c r="A53" s="1">
        <v>44172</v>
      </c>
      <c r="B53">
        <f t="shared" si="0"/>
        <v>47</v>
      </c>
      <c r="C53" s="13">
        <f>IF(A53="","",VLOOKUP(A53,YF_Spot[#All],5,))</f>
        <v>123.75</v>
      </c>
      <c r="D53" s="12">
        <f t="shared" si="1"/>
        <v>1.2195273093818206E-2</v>
      </c>
      <c r="E53" s="17">
        <f t="shared" si="5"/>
        <v>3.7160275972448613E-4</v>
      </c>
      <c r="F53" s="12">
        <f t="shared" si="2"/>
        <v>1.9277000796920827E-2</v>
      </c>
      <c r="G53" s="13">
        <f t="shared" si="3"/>
        <v>118.97894230276209</v>
      </c>
      <c r="H53" s="13">
        <f t="shared" si="4"/>
        <v>128.52105769723792</v>
      </c>
    </row>
    <row r="54" spans="1:8" x14ac:dyDescent="0.3">
      <c r="A54" s="1">
        <v>44173</v>
      </c>
      <c r="B54">
        <f t="shared" si="0"/>
        <v>46</v>
      </c>
      <c r="C54" s="13">
        <f>IF(A54="","",VLOOKUP(A54,YF_Spot[#All],5,))</f>
        <v>124.38</v>
      </c>
      <c r="D54" s="12">
        <f t="shared" si="1"/>
        <v>5.0779942269434828E-3</v>
      </c>
      <c r="E54" s="17">
        <f t="shared" si="5"/>
        <v>3.5823007529098532E-4</v>
      </c>
      <c r="F54" s="12">
        <f t="shared" si="2"/>
        <v>1.8926966880379575E-2</v>
      </c>
      <c r="G54" s="13">
        <f t="shared" si="3"/>
        <v>119.67172771883676</v>
      </c>
      <c r="H54" s="13">
        <f t="shared" si="4"/>
        <v>129.0882722811632</v>
      </c>
    </row>
    <row r="55" spans="1:8" x14ac:dyDescent="0.3">
      <c r="A55" s="1">
        <v>44174</v>
      </c>
      <c r="B55">
        <f t="shared" si="0"/>
        <v>45</v>
      </c>
      <c r="C55" s="13">
        <f>IF(A55="","",VLOOKUP(A55,YF_Spot[#All],5,))</f>
        <v>121.78</v>
      </c>
      <c r="D55" s="12">
        <f t="shared" si="1"/>
        <v>-2.1125257495315113E-2</v>
      </c>
      <c r="E55" s="17">
        <f t="shared" si="5"/>
        <v>3.3828343229565846E-4</v>
      </c>
      <c r="F55" s="12">
        <f t="shared" si="2"/>
        <v>1.8392483037797221E-2</v>
      </c>
      <c r="G55" s="13">
        <f t="shared" si="3"/>
        <v>117.30032683131411</v>
      </c>
      <c r="H55" s="13">
        <f t="shared" si="4"/>
        <v>126.25967316868588</v>
      </c>
    </row>
    <row r="56" spans="1:8" x14ac:dyDescent="0.3">
      <c r="A56" s="1">
        <v>44175</v>
      </c>
      <c r="B56">
        <f t="shared" si="0"/>
        <v>44</v>
      </c>
      <c r="C56" s="13">
        <f>IF(A56="","",VLOOKUP(A56,YF_Spot[#All],5,))</f>
        <v>123.24</v>
      </c>
      <c r="D56" s="12">
        <f t="shared" si="1"/>
        <v>1.1917535548039185E-2</v>
      </c>
      <c r="E56" s="17">
        <f t="shared" si="5"/>
        <v>3.4476301661252103E-4</v>
      </c>
      <c r="F56" s="12">
        <f t="shared" si="2"/>
        <v>1.8567795146772838E-2</v>
      </c>
      <c r="G56" s="13">
        <f t="shared" si="3"/>
        <v>118.66340985222344</v>
      </c>
      <c r="H56" s="13">
        <f t="shared" si="4"/>
        <v>127.81659014777657</v>
      </c>
    </row>
    <row r="57" spans="1:8" x14ac:dyDescent="0.3">
      <c r="A57" s="1">
        <v>44176</v>
      </c>
      <c r="B57">
        <f t="shared" si="0"/>
        <v>43</v>
      </c>
      <c r="C57" s="13">
        <f>IF(A57="","",VLOOKUP(A57,YF_Spot[#All],5,))</f>
        <v>122.41</v>
      </c>
      <c r="D57" s="12">
        <f t="shared" si="1"/>
        <v>-6.7576076410460467E-3</v>
      </c>
      <c r="E57" s="17">
        <f t="shared" si="5"/>
        <v>3.3259889482809642E-4</v>
      </c>
      <c r="F57" s="12">
        <f t="shared" si="2"/>
        <v>1.8237294065406095E-2</v>
      </c>
      <c r="G57" s="13">
        <f t="shared" si="3"/>
        <v>117.94514566690728</v>
      </c>
      <c r="H57" s="13">
        <f t="shared" si="4"/>
        <v>126.87485433309271</v>
      </c>
    </row>
    <row r="58" spans="1:8" x14ac:dyDescent="0.3">
      <c r="A58" s="1">
        <v>44179</v>
      </c>
      <c r="B58">
        <f t="shared" si="0"/>
        <v>42</v>
      </c>
      <c r="C58" s="13">
        <f>IF(A58="","",VLOOKUP(A58,YF_Spot[#All],5,))</f>
        <v>121.78</v>
      </c>
      <c r="D58" s="12">
        <f t="shared" si="1"/>
        <v>-5.1599279069930414E-3</v>
      </c>
      <c r="E58" s="17">
        <f t="shared" si="5"/>
        <v>3.1538287680023009E-4</v>
      </c>
      <c r="F58" s="12">
        <f t="shared" si="2"/>
        <v>1.7759022405533197E-2</v>
      </c>
      <c r="G58" s="13">
        <f t="shared" si="3"/>
        <v>117.45461250290835</v>
      </c>
      <c r="H58" s="13">
        <f t="shared" si="4"/>
        <v>126.10538749709166</v>
      </c>
    </row>
    <row r="59" spans="1:8" x14ac:dyDescent="0.3">
      <c r="A59" s="1">
        <v>44180</v>
      </c>
      <c r="B59">
        <f t="shared" si="0"/>
        <v>41</v>
      </c>
      <c r="C59" s="13">
        <f>IF(A59="","",VLOOKUP(A59,YF_Spot[#All],5,))</f>
        <v>127.88</v>
      </c>
      <c r="D59" s="12">
        <f t="shared" si="1"/>
        <v>4.8876186011212734E-2</v>
      </c>
      <c r="E59" s="17">
        <f t="shared" si="5"/>
        <v>2.9805739555253822E-4</v>
      </c>
      <c r="F59" s="12">
        <f t="shared" si="2"/>
        <v>1.7264338839137115E-2</v>
      </c>
      <c r="G59" s="13">
        <f t="shared" si="3"/>
        <v>123.46447269850228</v>
      </c>
      <c r="H59" s="13">
        <f t="shared" si="4"/>
        <v>132.29552730149771</v>
      </c>
    </row>
    <row r="60" spans="1:8" x14ac:dyDescent="0.3">
      <c r="A60" s="1">
        <v>44181</v>
      </c>
      <c r="B60">
        <f t="shared" si="0"/>
        <v>40</v>
      </c>
      <c r="C60" s="13">
        <f>IF(A60="","",VLOOKUP(A60,YF_Spot[#All],5,))</f>
        <v>127.81</v>
      </c>
      <c r="D60" s="12">
        <f t="shared" si="1"/>
        <v>-5.4753804801760603E-4</v>
      </c>
      <c r="E60" s="17">
        <f t="shared" si="5"/>
        <v>4.2350684535954607E-4</v>
      </c>
      <c r="F60" s="12">
        <f t="shared" si="2"/>
        <v>2.0579281944702203E-2</v>
      </c>
      <c r="G60" s="13">
        <f t="shared" si="3"/>
        <v>122.54952394929522</v>
      </c>
      <c r="H60" s="13">
        <f t="shared" si="4"/>
        <v>133.07047605070477</v>
      </c>
    </row>
    <row r="61" spans="1:8" x14ac:dyDescent="0.3">
      <c r="A61" s="1">
        <v>44182</v>
      </c>
      <c r="B61">
        <f t="shared" si="0"/>
        <v>39</v>
      </c>
      <c r="C61" s="13">
        <f>IF(A61="","",VLOOKUP(A61,YF_Spot[#All],5,))</f>
        <v>128.69999999999999</v>
      </c>
      <c r="D61" s="12">
        <f t="shared" si="1"/>
        <v>6.9393284584577967E-3</v>
      </c>
      <c r="E61" s="17">
        <f t="shared" si="5"/>
        <v>3.9811442251281491E-4</v>
      </c>
      <c r="F61" s="12">
        <f t="shared" si="2"/>
        <v>1.9952804878332644E-2</v>
      </c>
      <c r="G61" s="13">
        <f t="shared" si="3"/>
        <v>123.56414802431718</v>
      </c>
      <c r="H61" s="13">
        <f t="shared" si="4"/>
        <v>133.8358519756828</v>
      </c>
    </row>
    <row r="62" spans="1:8" x14ac:dyDescent="0.3">
      <c r="A62" s="1">
        <v>44183</v>
      </c>
      <c r="B62">
        <f t="shared" si="0"/>
        <v>38</v>
      </c>
      <c r="C62" s="13">
        <f>IF(A62="","",VLOOKUP(A62,YF_Spot[#All],5,))</f>
        <v>126.66</v>
      </c>
      <c r="D62" s="12">
        <f t="shared" si="1"/>
        <v>-1.5977783513796709E-2</v>
      </c>
      <c r="E62" s="17">
        <f t="shared" si="5"/>
        <v>3.7711681392930773E-4</v>
      </c>
      <c r="F62" s="12">
        <f t="shared" si="2"/>
        <v>1.9419495717688133E-2</v>
      </c>
      <c r="G62" s="13">
        <f t="shared" si="3"/>
        <v>121.74065334479523</v>
      </c>
      <c r="H62" s="13">
        <f t="shared" si="4"/>
        <v>131.57934665520474</v>
      </c>
    </row>
    <row r="63" spans="1:8" x14ac:dyDescent="0.3">
      <c r="A63" s="1">
        <v>44186</v>
      </c>
      <c r="B63">
        <f t="shared" si="0"/>
        <v>37</v>
      </c>
      <c r="C63" s="13">
        <f>IF(A63="","",VLOOKUP(A63,YF_Spot[#All],5,))</f>
        <v>128.22999999999999</v>
      </c>
      <c r="D63" s="12">
        <f t="shared" si="1"/>
        <v>1.2319195382740062E-2</v>
      </c>
      <c r="E63" s="17">
        <f t="shared" si="5"/>
        <v>3.6980717905437451E-4</v>
      </c>
      <c r="F63" s="12">
        <f t="shared" si="2"/>
        <v>1.923037126668059E-2</v>
      </c>
      <c r="G63" s="13">
        <f t="shared" si="3"/>
        <v>123.29817898494709</v>
      </c>
      <c r="H63" s="13">
        <f t="shared" si="4"/>
        <v>133.16182101505288</v>
      </c>
    </row>
    <row r="64" spans="1:8" x14ac:dyDescent="0.3">
      <c r="A64" s="1">
        <v>44187</v>
      </c>
      <c r="B64">
        <f t="shared" si="0"/>
        <v>36</v>
      </c>
      <c r="C64" s="13">
        <f>IF(A64="","",VLOOKUP(A64,YF_Spot[#All],5,))</f>
        <v>131.88</v>
      </c>
      <c r="D64" s="12">
        <f t="shared" si="1"/>
        <v>2.8066891732505806E-2</v>
      </c>
      <c r="E64" s="17">
        <f t="shared" si="5"/>
        <v>3.5672450280379946E-4</v>
      </c>
      <c r="F64" s="12">
        <f t="shared" si="2"/>
        <v>1.888715179172867E-2</v>
      </c>
      <c r="G64" s="13">
        <f t="shared" si="3"/>
        <v>126.89832484341365</v>
      </c>
      <c r="H64" s="13">
        <f t="shared" si="4"/>
        <v>136.86167515658633</v>
      </c>
    </row>
    <row r="65" spans="1:8" x14ac:dyDescent="0.3">
      <c r="A65" s="1">
        <v>44188</v>
      </c>
      <c r="B65">
        <f t="shared" si="0"/>
        <v>35</v>
      </c>
      <c r="C65" s="13">
        <f>IF(A65="","",VLOOKUP(A65,YF_Spot[#All],5,))</f>
        <v>130.96</v>
      </c>
      <c r="D65" s="12">
        <f t="shared" si="1"/>
        <v>-7.0004851406506958E-3</v>
      </c>
      <c r="E65" s="17">
        <f t="shared" si="5"/>
        <v>3.8258605732702369E-4</v>
      </c>
      <c r="F65" s="12">
        <f t="shared" si="2"/>
        <v>1.9559807190435791E-2</v>
      </c>
      <c r="G65" s="13">
        <f t="shared" si="3"/>
        <v>125.83689530068106</v>
      </c>
      <c r="H65" s="13">
        <f t="shared" si="4"/>
        <v>136.08310469931897</v>
      </c>
    </row>
    <row r="66" spans="1:8" x14ac:dyDescent="0.3">
      <c r="A66" s="1">
        <v>44189</v>
      </c>
      <c r="B66">
        <f t="shared" si="0"/>
        <v>34</v>
      </c>
      <c r="C66" s="13">
        <f>IF(A66="","",VLOOKUP(A66,YF_Spot[#All],5,))</f>
        <v>131.97</v>
      </c>
      <c r="D66" s="12">
        <f t="shared" si="1"/>
        <v>7.682690965858531E-3</v>
      </c>
      <c r="E66" s="17">
        <f t="shared" si="5"/>
        <v>3.6257130141967054E-4</v>
      </c>
      <c r="F66" s="12">
        <f t="shared" si="2"/>
        <v>1.9041305139608222E-2</v>
      </c>
      <c r="G66" s="13">
        <f t="shared" si="3"/>
        <v>126.9442379214518</v>
      </c>
      <c r="H66" s="13">
        <f t="shared" si="4"/>
        <v>136.99576207854818</v>
      </c>
    </row>
    <row r="67" spans="1:8" x14ac:dyDescent="0.3">
      <c r="A67" s="1">
        <v>44193</v>
      </c>
      <c r="B67">
        <f t="shared" ref="B67:B130" si="6">IF(A67="","",_xlfn.RANK.EQ(A67,A:A,0))</f>
        <v>33</v>
      </c>
      <c r="C67" s="13">
        <f>IF(A67="","",VLOOKUP(A67,YF_Spot[#All],5,))</f>
        <v>136.69</v>
      </c>
      <c r="D67" s="12">
        <f t="shared" si="1"/>
        <v>3.5140964135823585E-2</v>
      </c>
      <c r="E67" s="17">
        <f t="shared" si="5"/>
        <v>3.4435844776310335E-4</v>
      </c>
      <c r="F67" s="12">
        <f t="shared" si="2"/>
        <v>1.8556897579151084E-2</v>
      </c>
      <c r="G67" s="13">
        <f t="shared" si="3"/>
        <v>131.61691533981167</v>
      </c>
      <c r="H67" s="13">
        <f t="shared" si="4"/>
        <v>141.76308466018833</v>
      </c>
    </row>
    <row r="68" spans="1:8" x14ac:dyDescent="0.3">
      <c r="A68" s="1">
        <v>44194</v>
      </c>
      <c r="B68">
        <f t="shared" si="6"/>
        <v>32</v>
      </c>
      <c r="C68" s="13">
        <f>IF(A68="","",VLOOKUP(A68,YF_Spot[#All],5,))</f>
        <v>134.87</v>
      </c>
      <c r="D68" s="12">
        <f t="shared" ref="D68:D99" si="7">IF(A68="","",LN(C68/C67))</f>
        <v>-1.3404236635795356E-2</v>
      </c>
      <c r="E68" s="17">
        <f t="shared" si="5"/>
        <v>3.9779018252103157E-4</v>
      </c>
      <c r="F68" s="12">
        <f t="shared" ref="F68:F131" si="8">IF(A68="","",SQRT(E68))</f>
        <v>1.9944678050072193E-2</v>
      </c>
      <c r="G68" s="13">
        <f t="shared" ref="G68:G131" si="9">IF(A68="","",C68*(1-2*F68))</f>
        <v>129.49012254277352</v>
      </c>
      <c r="H68" s="13">
        <f t="shared" ref="H68:H131" si="10">IF(A68="","",C68*(1+2*F68))</f>
        <v>140.24987745722646</v>
      </c>
    </row>
    <row r="69" spans="1:8" x14ac:dyDescent="0.3">
      <c r="A69" s="1">
        <v>44195</v>
      </c>
      <c r="B69">
        <f t="shared" si="6"/>
        <v>31</v>
      </c>
      <c r="C69" s="13">
        <f>IF(A69="","",VLOOKUP(A69,YF_Spot[#All],5,))</f>
        <v>133.72</v>
      </c>
      <c r="D69" s="12">
        <f t="shared" si="7"/>
        <v>-8.563289976868442E-3</v>
      </c>
      <c r="E69" s="17">
        <f t="shared" ref="E69:E132" si="11">IF(A69="","",$P$1*E68+(1-$P$1)*D68^2)</f>
        <v>3.8470318515707356E-4</v>
      </c>
      <c r="F69" s="12">
        <f t="shared" si="8"/>
        <v>1.9613851869458829E-2</v>
      </c>
      <c r="G69" s="13">
        <f t="shared" si="9"/>
        <v>128.47447145603192</v>
      </c>
      <c r="H69" s="13">
        <f t="shared" si="10"/>
        <v>138.96552854396808</v>
      </c>
    </row>
    <row r="70" spans="1:8" x14ac:dyDescent="0.3">
      <c r="A70" s="1">
        <v>44196</v>
      </c>
      <c r="B70">
        <f t="shared" si="6"/>
        <v>30</v>
      </c>
      <c r="C70" s="13">
        <f>IF(A70="","",VLOOKUP(A70,YF_Spot[#All],5,))</f>
        <v>132.69</v>
      </c>
      <c r="D70" s="12">
        <f t="shared" si="7"/>
        <v>-7.7324810035527686E-3</v>
      </c>
      <c r="E70" s="17">
        <f t="shared" si="11"/>
        <v>3.6602079016132531E-4</v>
      </c>
      <c r="F70" s="12">
        <f t="shared" si="8"/>
        <v>1.9131669821563547E-2</v>
      </c>
      <c r="G70" s="13">
        <f t="shared" si="9"/>
        <v>127.61283746275346</v>
      </c>
      <c r="H70" s="13">
        <f t="shared" si="10"/>
        <v>137.76716253724655</v>
      </c>
    </row>
    <row r="71" spans="1:8" x14ac:dyDescent="0.3">
      <c r="A71" s="1">
        <v>44200</v>
      </c>
      <c r="B71">
        <f t="shared" si="6"/>
        <v>29</v>
      </c>
      <c r="C71" s="13">
        <f>IF(A71="","",VLOOKUP(A71,YF_Spot[#All],5,))</f>
        <v>129.41</v>
      </c>
      <c r="D71" s="12">
        <f t="shared" si="7"/>
        <v>-2.5029921714766316E-2</v>
      </c>
      <c r="E71" s="17">
        <f t="shared" si="11"/>
        <v>3.4764701849986405E-4</v>
      </c>
      <c r="F71" s="12">
        <f t="shared" si="8"/>
        <v>1.8645294808606917E-2</v>
      </c>
      <c r="G71" s="13">
        <f t="shared" si="9"/>
        <v>124.58422479763635</v>
      </c>
      <c r="H71" s="13">
        <f t="shared" si="10"/>
        <v>134.23577520236364</v>
      </c>
    </row>
    <row r="72" spans="1:8" x14ac:dyDescent="0.3">
      <c r="A72" s="1">
        <v>44201</v>
      </c>
      <c r="B72">
        <f t="shared" si="6"/>
        <v>28</v>
      </c>
      <c r="C72" s="13">
        <f>IF(A72="","",VLOOKUP(A72,YF_Spot[#All],5,))</f>
        <v>131.01</v>
      </c>
      <c r="D72" s="12">
        <f t="shared" si="7"/>
        <v>1.2287997332000481E-2</v>
      </c>
      <c r="E72" s="17">
        <f t="shared" si="11"/>
        <v>3.6437801625271207E-4</v>
      </c>
      <c r="F72" s="12">
        <f t="shared" si="8"/>
        <v>1.9088688175270506E-2</v>
      </c>
      <c r="G72" s="13">
        <f t="shared" si="9"/>
        <v>126.00838192431561</v>
      </c>
      <c r="H72" s="13">
        <f t="shared" si="10"/>
        <v>136.01161807568437</v>
      </c>
    </row>
    <row r="73" spans="1:8" x14ac:dyDescent="0.3">
      <c r="A73" s="1">
        <v>44202</v>
      </c>
      <c r="B73">
        <f t="shared" si="6"/>
        <v>27</v>
      </c>
      <c r="C73" s="13">
        <f>IF(A73="","",VLOOKUP(A73,YF_Spot[#All],5,))</f>
        <v>126.6</v>
      </c>
      <c r="D73" s="12">
        <f t="shared" si="7"/>
        <v>-3.4241146455503475E-2</v>
      </c>
      <c r="E73" s="17">
        <f t="shared" si="11"/>
        <v>3.5157502798342441E-4</v>
      </c>
      <c r="F73" s="12">
        <f t="shared" si="8"/>
        <v>1.8750334076581793E-2</v>
      </c>
      <c r="G73" s="13">
        <f t="shared" si="9"/>
        <v>121.85241541180949</v>
      </c>
      <c r="H73" s="13">
        <f t="shared" si="10"/>
        <v>131.3475845881905</v>
      </c>
    </row>
    <row r="74" spans="1:8" x14ac:dyDescent="0.3">
      <c r="A74" s="1">
        <v>44203</v>
      </c>
      <c r="B74">
        <f t="shared" si="6"/>
        <v>26</v>
      </c>
      <c r="C74" s="13">
        <f>IF(A74="","",VLOOKUP(A74,YF_Spot[#All],5,))</f>
        <v>130.91999999999999</v>
      </c>
      <c r="D74" s="12">
        <f t="shared" si="7"/>
        <v>3.3553939922903862E-2</v>
      </c>
      <c r="E74" s="17">
        <f t="shared" si="11"/>
        <v>4.0082789293965329E-4</v>
      </c>
      <c r="F74" s="12">
        <f t="shared" si="8"/>
        <v>2.0020686625079904E-2</v>
      </c>
      <c r="G74" s="13">
        <f t="shared" si="9"/>
        <v>125.67778341408908</v>
      </c>
      <c r="H74" s="13">
        <f t="shared" si="10"/>
        <v>136.16221658591093</v>
      </c>
    </row>
    <row r="75" spans="1:8" x14ac:dyDescent="0.3">
      <c r="A75" s="1">
        <v>44204</v>
      </c>
      <c r="B75">
        <f t="shared" si="6"/>
        <v>25</v>
      </c>
      <c r="C75" s="13">
        <f>IF(A75="","",VLOOKUP(A75,YF_Spot[#All],5,))</f>
        <v>132.05000000000001</v>
      </c>
      <c r="D75" s="12">
        <f t="shared" si="7"/>
        <v>8.594189110161592E-3</v>
      </c>
      <c r="E75" s="17">
        <f t="shared" si="11"/>
        <v>4.4433023242426462E-4</v>
      </c>
      <c r="F75" s="12">
        <f t="shared" si="8"/>
        <v>2.1079142117843994E-2</v>
      </c>
      <c r="G75" s="13">
        <f t="shared" si="9"/>
        <v>126.48299856667741</v>
      </c>
      <c r="H75" s="13">
        <f t="shared" si="10"/>
        <v>137.61700143332263</v>
      </c>
    </row>
    <row r="76" spans="1:8" x14ac:dyDescent="0.3">
      <c r="A76" s="1">
        <v>44207</v>
      </c>
      <c r="B76">
        <f t="shared" si="6"/>
        <v>24</v>
      </c>
      <c r="C76" s="13">
        <f>IF(A76="","",VLOOKUP(A76,YF_Spot[#All],5,))</f>
        <v>128.97999999999999</v>
      </c>
      <c r="D76" s="12">
        <f t="shared" si="7"/>
        <v>-2.3523285160910033E-2</v>
      </c>
      <c r="E76" s="17">
        <f t="shared" si="11"/>
        <v>4.2210202366648191E-4</v>
      </c>
      <c r="F76" s="12">
        <f t="shared" si="8"/>
        <v>2.0545121651294303E-2</v>
      </c>
      <c r="G76" s="13">
        <f t="shared" si="9"/>
        <v>123.68018041883211</v>
      </c>
      <c r="H76" s="13">
        <f t="shared" si="10"/>
        <v>134.27981958116786</v>
      </c>
    </row>
    <row r="77" spans="1:8" x14ac:dyDescent="0.3">
      <c r="A77" s="1">
        <v>44208</v>
      </c>
      <c r="B77">
        <f t="shared" si="6"/>
        <v>23</v>
      </c>
      <c r="C77" s="13">
        <f>IF(A77="","",VLOOKUP(A77,YF_Spot[#All],5,))</f>
        <v>128.80000000000001</v>
      </c>
      <c r="D77" s="12">
        <f t="shared" si="7"/>
        <v>-1.3965399119778771E-3</v>
      </c>
      <c r="E77" s="17">
        <f t="shared" si="11"/>
        <v>4.2997659893218243E-4</v>
      </c>
      <c r="F77" s="12">
        <f t="shared" si="8"/>
        <v>2.0735877095801433E-2</v>
      </c>
      <c r="G77" s="13">
        <f t="shared" si="9"/>
        <v>123.45843806012157</v>
      </c>
      <c r="H77" s="13">
        <f t="shared" si="10"/>
        <v>134.14156193987844</v>
      </c>
    </row>
    <row r="78" spans="1:8" x14ac:dyDescent="0.3">
      <c r="A78" s="1">
        <v>44209</v>
      </c>
      <c r="B78">
        <f t="shared" si="6"/>
        <v>22</v>
      </c>
      <c r="C78" s="13">
        <f>IF(A78="","",VLOOKUP(A78,YF_Spot[#All],5,))</f>
        <v>130.88999999999999</v>
      </c>
      <c r="D78" s="12">
        <f t="shared" si="7"/>
        <v>1.6096462133374498E-2</v>
      </c>
      <c r="E78" s="17">
        <f t="shared" si="11"/>
        <v>4.0429502241979632E-4</v>
      </c>
      <c r="F78" s="12">
        <f t="shared" si="8"/>
        <v>2.0107088859897055E-2</v>
      </c>
      <c r="G78" s="13">
        <f t="shared" si="9"/>
        <v>125.62636627825614</v>
      </c>
      <c r="H78" s="13">
        <f t="shared" si="10"/>
        <v>136.15363372174386</v>
      </c>
    </row>
    <row r="79" spans="1:8" x14ac:dyDescent="0.3">
      <c r="A79" s="1">
        <v>44210</v>
      </c>
      <c r="B79">
        <f t="shared" si="6"/>
        <v>21</v>
      </c>
      <c r="C79" s="13">
        <f>IF(A79="","",VLOOKUP(A79,YF_Spot[#All],5,))</f>
        <v>128.91</v>
      </c>
      <c r="D79" s="12">
        <f t="shared" si="7"/>
        <v>-1.5242789348614434E-2</v>
      </c>
      <c r="E79" s="17">
        <f t="shared" si="11"/>
        <v>3.9558308666727809E-4</v>
      </c>
      <c r="F79" s="12">
        <f t="shared" si="8"/>
        <v>1.9889270641913395E-2</v>
      </c>
      <c r="G79" s="13">
        <f t="shared" si="9"/>
        <v>123.78214824310189</v>
      </c>
      <c r="H79" s="13">
        <f t="shared" si="10"/>
        <v>134.03785175689811</v>
      </c>
    </row>
    <row r="80" spans="1:8" x14ac:dyDescent="0.3">
      <c r="A80" s="1">
        <v>44211</v>
      </c>
      <c r="B80">
        <f t="shared" si="6"/>
        <v>20</v>
      </c>
      <c r="C80" s="13">
        <f>IF(A80="","",VLOOKUP(A80,YF_Spot[#All],5,))</f>
        <v>127.14</v>
      </c>
      <c r="D80" s="12">
        <f t="shared" si="7"/>
        <v>-1.3825644946750659E-2</v>
      </c>
      <c r="E80" s="17">
        <f t="shared" si="11"/>
        <v>3.8578865909481543E-4</v>
      </c>
      <c r="F80" s="12">
        <f t="shared" si="8"/>
        <v>1.9641503483562948E-2</v>
      </c>
      <c r="G80" s="13">
        <f t="shared" si="9"/>
        <v>122.14555849419961</v>
      </c>
      <c r="H80" s="13">
        <f t="shared" si="10"/>
        <v>132.1344415058004</v>
      </c>
    </row>
    <row r="81" spans="1:8" x14ac:dyDescent="0.3">
      <c r="A81" s="1">
        <v>44215</v>
      </c>
      <c r="B81">
        <f t="shared" si="6"/>
        <v>19</v>
      </c>
      <c r="C81" s="13">
        <f>IF(A81="","",VLOOKUP(A81,YF_Spot[#All],5,))</f>
        <v>127.83</v>
      </c>
      <c r="D81" s="12">
        <f t="shared" si="7"/>
        <v>5.4124146716675548E-3</v>
      </c>
      <c r="E81" s="17">
        <f t="shared" si="11"/>
        <v>3.741102470407432E-4</v>
      </c>
      <c r="F81" s="12">
        <f t="shared" si="8"/>
        <v>1.9341929765169328E-2</v>
      </c>
      <c r="G81" s="13">
        <f t="shared" si="9"/>
        <v>122.8850422362368</v>
      </c>
      <c r="H81" s="13">
        <f t="shared" si="10"/>
        <v>132.77495776376318</v>
      </c>
    </row>
    <row r="82" spans="1:8" x14ac:dyDescent="0.3">
      <c r="A82" s="1">
        <v>44216</v>
      </c>
      <c r="B82">
        <f t="shared" si="6"/>
        <v>18</v>
      </c>
      <c r="C82" s="13">
        <f>IF(A82="","",VLOOKUP(A82,YF_Spot[#All],5,))</f>
        <v>132.03</v>
      </c>
      <c r="D82" s="12">
        <f t="shared" si="7"/>
        <v>3.2327913311179346E-2</v>
      </c>
      <c r="E82" s="17">
        <f t="shared" si="11"/>
        <v>3.5342128617298351E-4</v>
      </c>
      <c r="F82" s="12">
        <f t="shared" si="8"/>
        <v>1.8799502285246371E-2</v>
      </c>
      <c r="G82" s="13">
        <f t="shared" si="9"/>
        <v>127.06580342655785</v>
      </c>
      <c r="H82" s="13">
        <f t="shared" si="10"/>
        <v>136.99419657344217</v>
      </c>
    </row>
    <row r="83" spans="1:8" x14ac:dyDescent="0.3">
      <c r="A83" s="1">
        <v>44217</v>
      </c>
      <c r="B83">
        <f t="shared" si="6"/>
        <v>17</v>
      </c>
      <c r="C83" s="13">
        <f>IF(A83="","",VLOOKUP(A83,YF_Spot[#All],5,))</f>
        <v>136.87</v>
      </c>
      <c r="D83" s="12">
        <f t="shared" si="7"/>
        <v>3.6002400732065197E-2</v>
      </c>
      <c r="E83" s="17">
        <f t="shared" si="11"/>
        <v>3.9492164774591215E-4</v>
      </c>
      <c r="F83" s="12">
        <f t="shared" si="8"/>
        <v>1.9872635651717468E-2</v>
      </c>
      <c r="G83" s="13">
        <f t="shared" si="9"/>
        <v>131.43006471669887</v>
      </c>
      <c r="H83" s="13">
        <f t="shared" si="10"/>
        <v>142.30993528330114</v>
      </c>
    </row>
    <row r="84" spans="1:8" x14ac:dyDescent="0.3">
      <c r="A84" s="1">
        <v>44218</v>
      </c>
      <c r="B84">
        <f t="shared" si="6"/>
        <v>16</v>
      </c>
      <c r="C84" s="13">
        <f>IF(A84="","",VLOOKUP(A84,YF_Spot[#All],5,))</f>
        <v>139.07</v>
      </c>
      <c r="D84" s="12">
        <f t="shared" si="7"/>
        <v>1.594583326734442E-2</v>
      </c>
      <c r="E84" s="17">
        <f t="shared" si="11"/>
        <v>4.4899672038948999E-4</v>
      </c>
      <c r="F84" s="12">
        <f t="shared" si="8"/>
        <v>2.1189542713081138E-2</v>
      </c>
      <c r="G84" s="13">
        <f t="shared" si="9"/>
        <v>133.17634058978359</v>
      </c>
      <c r="H84" s="13">
        <f t="shared" si="10"/>
        <v>144.96365941021639</v>
      </c>
    </row>
    <row r="85" spans="1:8" x14ac:dyDescent="0.3">
      <c r="A85" s="1">
        <v>44221</v>
      </c>
      <c r="B85">
        <f t="shared" si="6"/>
        <v>15</v>
      </c>
      <c r="C85" s="13">
        <f>IF(A85="","",VLOOKUP(A85,YF_Spot[#All],5,))</f>
        <v>142.91999999999999</v>
      </c>
      <c r="D85" s="12">
        <f t="shared" si="7"/>
        <v>2.7307629664689421E-2</v>
      </c>
      <c r="E85" s="17">
        <f t="shared" si="11"/>
        <v>4.3731309308151748E-4</v>
      </c>
      <c r="F85" s="12">
        <f t="shared" si="8"/>
        <v>2.0912032256132293E-2</v>
      </c>
      <c r="G85" s="13">
        <f t="shared" si="9"/>
        <v>136.94250469990712</v>
      </c>
      <c r="H85" s="13">
        <f t="shared" si="10"/>
        <v>148.89749530009283</v>
      </c>
    </row>
    <row r="86" spans="1:8" x14ac:dyDescent="0.3">
      <c r="A86" s="1">
        <v>44222</v>
      </c>
      <c r="B86">
        <f t="shared" si="6"/>
        <v>14</v>
      </c>
      <c r="C86" s="13">
        <f>IF(A86="","",VLOOKUP(A86,YF_Spot[#All],5,))</f>
        <v>143.16</v>
      </c>
      <c r="D86" s="12">
        <f t="shared" si="7"/>
        <v>1.6778527426161351E-3</v>
      </c>
      <c r="E86" s="17">
        <f t="shared" si="11"/>
        <v>4.5581670577085598E-4</v>
      </c>
      <c r="F86" s="12">
        <f t="shared" si="8"/>
        <v>2.1349864303335887E-2</v>
      </c>
      <c r="G86" s="13">
        <f t="shared" si="9"/>
        <v>137.04710685266886</v>
      </c>
      <c r="H86" s="13">
        <f t="shared" si="10"/>
        <v>149.2728931473311</v>
      </c>
    </row>
    <row r="87" spans="1:8" x14ac:dyDescent="0.3">
      <c r="A87" s="1">
        <v>44223</v>
      </c>
      <c r="B87">
        <f t="shared" si="6"/>
        <v>13</v>
      </c>
      <c r="C87" s="13">
        <f>IF(A87="","",VLOOKUP(A87,YF_Spot[#All],5,))</f>
        <v>142.06</v>
      </c>
      <c r="D87" s="12">
        <f t="shared" si="7"/>
        <v>-7.7133823281610907E-3</v>
      </c>
      <c r="E87" s="17">
        <f t="shared" si="11"/>
        <v>4.2863661481415887E-4</v>
      </c>
      <c r="F87" s="12">
        <f t="shared" si="8"/>
        <v>2.0703541117745024E-2</v>
      </c>
      <c r="G87" s="13">
        <f t="shared" si="9"/>
        <v>136.17770989762627</v>
      </c>
      <c r="H87" s="13">
        <f t="shared" si="10"/>
        <v>147.9422901023737</v>
      </c>
    </row>
    <row r="88" spans="1:8" x14ac:dyDescent="0.3">
      <c r="A88" s="1">
        <v>44224</v>
      </c>
      <c r="B88">
        <f t="shared" si="6"/>
        <v>12</v>
      </c>
      <c r="C88" s="13">
        <f>IF(A88="","",VLOOKUP(A88,YF_Spot[#All],5,))</f>
        <v>137.09</v>
      </c>
      <c r="D88" s="12">
        <f t="shared" si="7"/>
        <v>-3.5611859121855015E-2</v>
      </c>
      <c r="E88" s="17">
        <f t="shared" si="11"/>
        <v>4.0648819394173256E-4</v>
      </c>
      <c r="F88" s="12">
        <f t="shared" si="8"/>
        <v>2.0161552369342309E-2</v>
      </c>
      <c r="G88" s="13">
        <f t="shared" si="9"/>
        <v>131.56210557137373</v>
      </c>
      <c r="H88" s="13">
        <f t="shared" si="10"/>
        <v>142.6178944286263</v>
      </c>
    </row>
    <row r="89" spans="1:8" x14ac:dyDescent="0.3">
      <c r="A89" s="1">
        <v>44225</v>
      </c>
      <c r="B89">
        <f t="shared" si="6"/>
        <v>11</v>
      </c>
      <c r="C89" s="13">
        <f>IF(A89="","",VLOOKUP(A89,YF_Spot[#All],5,))</f>
        <v>131.96</v>
      </c>
      <c r="D89" s="12">
        <f t="shared" si="7"/>
        <v>-3.8138798087428261E-2</v>
      </c>
      <c r="E89" s="17">
        <f t="shared" si="11"/>
        <v>4.5819117291211951E-4</v>
      </c>
      <c r="F89" s="12">
        <f t="shared" si="8"/>
        <v>2.1405400554816056E-2</v>
      </c>
      <c r="G89" s="13">
        <f t="shared" si="9"/>
        <v>126.31068668557296</v>
      </c>
      <c r="H89" s="13">
        <f t="shared" si="10"/>
        <v>137.60931331442708</v>
      </c>
    </row>
    <row r="90" spans="1:8" x14ac:dyDescent="0.3">
      <c r="A90" s="1">
        <v>44228</v>
      </c>
      <c r="B90">
        <f t="shared" si="6"/>
        <v>10</v>
      </c>
      <c r="C90" s="13">
        <f>IF(A90="","",VLOOKUP(A90,YF_Spot[#All],5,))</f>
        <v>134.13999999999999</v>
      </c>
      <c r="D90" s="12">
        <f t="shared" si="7"/>
        <v>1.6385184311210322E-2</v>
      </c>
      <c r="E90" s="17">
        <f t="shared" si="11"/>
        <v>5.1797377771060969E-4</v>
      </c>
      <c r="F90" s="12">
        <f t="shared" si="8"/>
        <v>2.2759037275566156E-2</v>
      </c>
      <c r="G90" s="13">
        <f t="shared" si="9"/>
        <v>128.03420547971109</v>
      </c>
      <c r="H90" s="13">
        <f t="shared" si="10"/>
        <v>140.24579452028888</v>
      </c>
    </row>
    <row r="91" spans="1:8" x14ac:dyDescent="0.3">
      <c r="A91" s="1">
        <v>44229</v>
      </c>
      <c r="B91">
        <f t="shared" si="6"/>
        <v>9</v>
      </c>
      <c r="C91" s="13">
        <f>IF(A91="","",VLOOKUP(A91,YF_Spot[#All],5,))</f>
        <v>134.99</v>
      </c>
      <c r="D91" s="12">
        <f t="shared" si="7"/>
        <v>6.3166709491445832E-3</v>
      </c>
      <c r="E91" s="17">
        <f t="shared" si="11"/>
        <v>5.0300380694271308E-4</v>
      </c>
      <c r="F91" s="12">
        <f t="shared" si="8"/>
        <v>2.242774636343815E-2</v>
      </c>
      <c r="G91" s="13">
        <f t="shared" si="9"/>
        <v>128.93495703679898</v>
      </c>
      <c r="H91" s="13">
        <f t="shared" si="10"/>
        <v>141.04504296320104</v>
      </c>
    </row>
    <row r="92" spans="1:8" x14ac:dyDescent="0.3">
      <c r="A92" s="1">
        <v>44230</v>
      </c>
      <c r="B92">
        <f t="shared" si="6"/>
        <v>8</v>
      </c>
      <c r="C92" s="13">
        <f>IF(A92="","",VLOOKUP(A92,YF_Spot[#All],5,))</f>
        <v>133.94</v>
      </c>
      <c r="D92" s="12">
        <f t="shared" si="7"/>
        <v>-7.8087631388315823E-3</v>
      </c>
      <c r="E92" s="17">
        <f t="shared" si="11"/>
        <v>4.7521759843893626E-4</v>
      </c>
      <c r="F92" s="12">
        <f t="shared" si="8"/>
        <v>2.179948619667299E-2</v>
      </c>
      <c r="G92" s="13">
        <f t="shared" si="9"/>
        <v>128.10035363763524</v>
      </c>
      <c r="H92" s="13">
        <f t="shared" si="10"/>
        <v>139.77964636236479</v>
      </c>
    </row>
    <row r="93" spans="1:8" x14ac:dyDescent="0.3">
      <c r="A93" s="1">
        <v>44231</v>
      </c>
      <c r="B93">
        <f t="shared" si="6"/>
        <v>7</v>
      </c>
      <c r="C93" s="13">
        <f>IF(A93="","",VLOOKUP(A93,YF_Spot[#All],5,))</f>
        <v>137.38999999999999</v>
      </c>
      <c r="D93" s="12">
        <f t="shared" si="7"/>
        <v>2.5431658453952743E-2</v>
      </c>
      <c r="E93" s="17">
        <f t="shared" si="11"/>
        <v>4.5036314943810258E-4</v>
      </c>
      <c r="F93" s="12">
        <f t="shared" si="8"/>
        <v>2.1221761223755738E-2</v>
      </c>
      <c r="G93" s="13">
        <f t="shared" si="9"/>
        <v>131.5586844509364</v>
      </c>
      <c r="H93" s="13">
        <f t="shared" si="10"/>
        <v>143.22131554906358</v>
      </c>
    </row>
    <row r="94" spans="1:8" x14ac:dyDescent="0.3">
      <c r="A94" s="1">
        <v>44232</v>
      </c>
      <c r="B94">
        <f t="shared" si="6"/>
        <v>6</v>
      </c>
      <c r="C94" s="13">
        <f>IF(A94="","",VLOOKUP(A94,YF_Spot[#All],5,))</f>
        <v>136.76</v>
      </c>
      <c r="D94" s="12">
        <f t="shared" si="7"/>
        <v>-4.5960321647563196E-3</v>
      </c>
      <c r="E94" s="17">
        <f t="shared" si="11"/>
        <v>4.6214751557492676E-4</v>
      </c>
      <c r="F94" s="12">
        <f t="shared" si="8"/>
        <v>2.1497616509160423E-2</v>
      </c>
      <c r="G94" s="13">
        <f t="shared" si="9"/>
        <v>130.87997193241443</v>
      </c>
      <c r="H94" s="13">
        <f t="shared" si="10"/>
        <v>142.64002806758555</v>
      </c>
    </row>
    <row r="95" spans="1:8" x14ac:dyDescent="0.3">
      <c r="A95" s="1">
        <v>44235</v>
      </c>
      <c r="B95">
        <f t="shared" si="6"/>
        <v>5</v>
      </c>
      <c r="C95" s="13">
        <f>IF(A95="","",VLOOKUP(A95,YF_Spot[#All],5,))</f>
        <v>136.91</v>
      </c>
      <c r="D95" s="12">
        <f t="shared" si="7"/>
        <v>1.0962108745641639E-3</v>
      </c>
      <c r="E95" s="17">
        <f t="shared" si="11"/>
        <v>4.3568607533999961E-4</v>
      </c>
      <c r="F95" s="12">
        <f t="shared" si="8"/>
        <v>2.0873094531956675E-2</v>
      </c>
      <c r="G95" s="13">
        <f t="shared" si="9"/>
        <v>131.19452925525962</v>
      </c>
      <c r="H95" s="13">
        <f t="shared" si="10"/>
        <v>142.62547074474037</v>
      </c>
    </row>
    <row r="96" spans="1:8" x14ac:dyDescent="0.3">
      <c r="A96" s="1">
        <v>44236</v>
      </c>
      <c r="B96">
        <f t="shared" si="6"/>
        <v>4</v>
      </c>
      <c r="C96" s="13">
        <f>IF(A96="","",VLOOKUP(A96,YF_Spot[#All],5,))</f>
        <v>136.01</v>
      </c>
      <c r="D96" s="12">
        <f t="shared" si="7"/>
        <v>-6.5953632010026146E-3</v>
      </c>
      <c r="E96" s="17">
        <f t="shared" si="11"/>
        <v>4.0961701151649038E-4</v>
      </c>
      <c r="F96" s="12">
        <f t="shared" si="8"/>
        <v>2.023899729523403E-2</v>
      </c>
      <c r="G96" s="13">
        <f t="shared" si="9"/>
        <v>130.50458795575042</v>
      </c>
      <c r="H96" s="13">
        <f t="shared" si="10"/>
        <v>141.51541204424956</v>
      </c>
    </row>
    <row r="97" spans="1:8" x14ac:dyDescent="0.3">
      <c r="A97" s="1">
        <v>44237</v>
      </c>
      <c r="B97">
        <f t="shared" si="6"/>
        <v>3</v>
      </c>
      <c r="C97" s="13">
        <f>IF(A97="","",VLOOKUP(A97,YF_Spot[#All],5,))</f>
        <v>135.38999999999999</v>
      </c>
      <c r="D97" s="12">
        <f t="shared" si="7"/>
        <v>-4.5689099376425213E-3</v>
      </c>
      <c r="E97" s="17">
        <f t="shared" si="11"/>
        <v>3.876499197706893E-4</v>
      </c>
      <c r="F97" s="12">
        <f t="shared" si="8"/>
        <v>1.9688827282768502E-2</v>
      </c>
      <c r="G97" s="13">
        <f t="shared" si="9"/>
        <v>130.05865934837195</v>
      </c>
      <c r="H97" s="13">
        <f t="shared" si="10"/>
        <v>140.72134065162805</v>
      </c>
    </row>
    <row r="98" spans="1:8" x14ac:dyDescent="0.3">
      <c r="A98" s="1">
        <v>44238</v>
      </c>
      <c r="B98">
        <f t="shared" si="6"/>
        <v>2</v>
      </c>
      <c r="C98" s="13">
        <f>IF(A98="","",VLOOKUP(A98,YF_Spot[#All],5,))</f>
        <v>135.13</v>
      </c>
      <c r="D98" s="12">
        <f t="shared" si="7"/>
        <v>-1.9222244570247318E-3</v>
      </c>
      <c r="E98" s="17">
        <f t="shared" si="11"/>
        <v>3.6564342086554524E-4</v>
      </c>
      <c r="F98" s="12">
        <f t="shared" si="8"/>
        <v>1.9121804853766949E-2</v>
      </c>
      <c r="G98" s="13">
        <f t="shared" si="9"/>
        <v>129.96214102022094</v>
      </c>
      <c r="H98" s="13">
        <f t="shared" si="10"/>
        <v>140.29785897977905</v>
      </c>
    </row>
    <row r="99" spans="1:8" x14ac:dyDescent="0.3">
      <c r="A99" s="1">
        <v>44239</v>
      </c>
      <c r="B99">
        <f t="shared" si="6"/>
        <v>1</v>
      </c>
      <c r="C99" s="13">
        <f>IF(A99="","",VLOOKUP(A99,YF_Spot[#All],5,))</f>
        <v>135.37</v>
      </c>
      <c r="D99" s="12">
        <f t="shared" si="7"/>
        <v>1.7744921477001938E-3</v>
      </c>
      <c r="E99" s="17">
        <f t="shared" si="11"/>
        <v>3.4392651242540358E-4</v>
      </c>
      <c r="F99" s="12">
        <f t="shared" si="8"/>
        <v>1.8545255792935388E-2</v>
      </c>
      <c r="G99" s="13">
        <f t="shared" si="9"/>
        <v>130.34905744662069</v>
      </c>
      <c r="H99" s="13">
        <f t="shared" si="10"/>
        <v>140.39094255337935</v>
      </c>
    </row>
    <row r="100" spans="1:8" x14ac:dyDescent="0.3">
      <c r="B100" t="str">
        <f t="shared" si="6"/>
        <v/>
      </c>
      <c r="C100" s="13" t="str">
        <f>IF(A100="","",VLOOKUP(A100,YF_Spot[#All],5,))</f>
        <v/>
      </c>
      <c r="D100" s="12" t="str">
        <f t="shared" ref="D100:D163" si="12">IF(A100="","",LN(C100/C99))</f>
        <v/>
      </c>
      <c r="E100" s="17" t="str">
        <f t="shared" si="11"/>
        <v/>
      </c>
      <c r="F100" s="12" t="str">
        <f t="shared" si="8"/>
        <v/>
      </c>
      <c r="G100" s="13" t="str">
        <f t="shared" si="9"/>
        <v/>
      </c>
      <c r="H100" s="13" t="str">
        <f t="shared" si="10"/>
        <v/>
      </c>
    </row>
    <row r="101" spans="1:8" x14ac:dyDescent="0.3">
      <c r="B101" t="str">
        <f t="shared" si="6"/>
        <v/>
      </c>
      <c r="C101" s="13" t="str">
        <f>IF(A101="","",VLOOKUP(A101,YF_Spot[#All],5,))</f>
        <v/>
      </c>
      <c r="D101" s="12" t="str">
        <f t="shared" si="12"/>
        <v/>
      </c>
      <c r="E101" s="17" t="str">
        <f t="shared" si="11"/>
        <v/>
      </c>
      <c r="F101" s="12" t="str">
        <f t="shared" si="8"/>
        <v/>
      </c>
      <c r="G101" s="13" t="str">
        <f t="shared" si="9"/>
        <v/>
      </c>
      <c r="H101" s="13" t="str">
        <f t="shared" si="10"/>
        <v/>
      </c>
    </row>
    <row r="102" spans="1:8" x14ac:dyDescent="0.3">
      <c r="B102" t="str">
        <f t="shared" si="6"/>
        <v/>
      </c>
      <c r="C102" s="13" t="str">
        <f>IF(A102="","",VLOOKUP(A102,YF_Spot[#All],5,))</f>
        <v/>
      </c>
      <c r="D102" s="12" t="str">
        <f t="shared" si="12"/>
        <v/>
      </c>
      <c r="E102" s="17" t="str">
        <f t="shared" si="11"/>
        <v/>
      </c>
      <c r="F102" s="12" t="str">
        <f t="shared" si="8"/>
        <v/>
      </c>
      <c r="G102" s="13" t="str">
        <f t="shared" si="9"/>
        <v/>
      </c>
      <c r="H102" s="13" t="str">
        <f t="shared" si="10"/>
        <v/>
      </c>
    </row>
    <row r="103" spans="1:8" x14ac:dyDescent="0.3">
      <c r="B103" t="str">
        <f t="shared" si="6"/>
        <v/>
      </c>
      <c r="C103" s="13" t="str">
        <f>IF(A103="","",VLOOKUP(A103,YF_Spot[#All],5,))</f>
        <v/>
      </c>
      <c r="D103" s="12" t="str">
        <f t="shared" si="12"/>
        <v/>
      </c>
      <c r="E103" s="17" t="str">
        <f t="shared" si="11"/>
        <v/>
      </c>
      <c r="F103" s="12" t="str">
        <f t="shared" si="8"/>
        <v/>
      </c>
      <c r="G103" s="13" t="str">
        <f t="shared" si="9"/>
        <v/>
      </c>
      <c r="H103" s="13" t="str">
        <f t="shared" si="10"/>
        <v/>
      </c>
    </row>
    <row r="104" spans="1:8" x14ac:dyDescent="0.3">
      <c r="B104" t="str">
        <f t="shared" si="6"/>
        <v/>
      </c>
      <c r="C104" s="13" t="str">
        <f>IF(A104="","",VLOOKUP(A104,YF_Spot[#All],5,))</f>
        <v/>
      </c>
      <c r="D104" s="12" t="str">
        <f t="shared" si="12"/>
        <v/>
      </c>
      <c r="E104" s="17" t="str">
        <f t="shared" si="11"/>
        <v/>
      </c>
      <c r="F104" s="12" t="str">
        <f t="shared" si="8"/>
        <v/>
      </c>
      <c r="G104" s="13" t="str">
        <f t="shared" si="9"/>
        <v/>
      </c>
      <c r="H104" s="13" t="str">
        <f t="shared" si="10"/>
        <v/>
      </c>
    </row>
    <row r="105" spans="1:8" x14ac:dyDescent="0.3">
      <c r="B105" t="str">
        <f t="shared" si="6"/>
        <v/>
      </c>
      <c r="C105" s="13" t="str">
        <f>IF(A105="","",VLOOKUP(A105,YF_Spot[#All],5,))</f>
        <v/>
      </c>
      <c r="D105" s="12" t="str">
        <f t="shared" si="12"/>
        <v/>
      </c>
      <c r="E105" s="17" t="str">
        <f t="shared" si="11"/>
        <v/>
      </c>
      <c r="F105" s="12" t="str">
        <f t="shared" si="8"/>
        <v/>
      </c>
      <c r="G105" s="13" t="str">
        <f t="shared" si="9"/>
        <v/>
      </c>
      <c r="H105" s="13" t="str">
        <f t="shared" si="10"/>
        <v/>
      </c>
    </row>
    <row r="106" spans="1:8" x14ac:dyDescent="0.3">
      <c r="B106" t="str">
        <f t="shared" si="6"/>
        <v/>
      </c>
      <c r="C106" s="13" t="str">
        <f>IF(A106="","",VLOOKUP(A106,YF_Spot[#All],5,))</f>
        <v/>
      </c>
      <c r="D106" s="12" t="str">
        <f t="shared" si="12"/>
        <v/>
      </c>
      <c r="E106" s="17" t="str">
        <f t="shared" si="11"/>
        <v/>
      </c>
      <c r="F106" s="12" t="str">
        <f t="shared" si="8"/>
        <v/>
      </c>
      <c r="G106" s="13" t="str">
        <f t="shared" si="9"/>
        <v/>
      </c>
      <c r="H106" s="13" t="str">
        <f t="shared" si="10"/>
        <v/>
      </c>
    </row>
    <row r="107" spans="1:8" x14ac:dyDescent="0.3">
      <c r="B107" t="str">
        <f t="shared" si="6"/>
        <v/>
      </c>
      <c r="C107" s="13" t="str">
        <f>IF(A107="","",VLOOKUP(A107,YF_Spot[#All],5,))</f>
        <v/>
      </c>
      <c r="D107" s="12" t="str">
        <f t="shared" si="12"/>
        <v/>
      </c>
      <c r="E107" s="17" t="str">
        <f t="shared" si="11"/>
        <v/>
      </c>
      <c r="F107" s="12" t="str">
        <f t="shared" si="8"/>
        <v/>
      </c>
      <c r="G107" s="13" t="str">
        <f t="shared" si="9"/>
        <v/>
      </c>
      <c r="H107" s="13" t="str">
        <f t="shared" si="10"/>
        <v/>
      </c>
    </row>
    <row r="108" spans="1:8" x14ac:dyDescent="0.3">
      <c r="B108" t="str">
        <f t="shared" si="6"/>
        <v/>
      </c>
      <c r="C108" s="13" t="str">
        <f>IF(A108="","",VLOOKUP(A108,YF_Spot[#All],5,))</f>
        <v/>
      </c>
      <c r="D108" s="12" t="str">
        <f t="shared" si="12"/>
        <v/>
      </c>
      <c r="E108" s="17" t="str">
        <f t="shared" si="11"/>
        <v/>
      </c>
      <c r="F108" s="12" t="str">
        <f t="shared" si="8"/>
        <v/>
      </c>
      <c r="G108" s="13" t="str">
        <f t="shared" si="9"/>
        <v/>
      </c>
      <c r="H108" s="13" t="str">
        <f t="shared" si="10"/>
        <v/>
      </c>
    </row>
    <row r="109" spans="1:8" x14ac:dyDescent="0.3">
      <c r="B109" t="str">
        <f t="shared" si="6"/>
        <v/>
      </c>
      <c r="C109" s="13" t="str">
        <f>IF(A109="","",VLOOKUP(A109,YF_Spot[#All],5,))</f>
        <v/>
      </c>
      <c r="D109" s="12" t="str">
        <f t="shared" si="12"/>
        <v/>
      </c>
      <c r="E109" s="17" t="str">
        <f t="shared" si="11"/>
        <v/>
      </c>
      <c r="F109" s="12" t="str">
        <f t="shared" si="8"/>
        <v/>
      </c>
      <c r="G109" s="13" t="str">
        <f t="shared" si="9"/>
        <v/>
      </c>
      <c r="H109" s="13" t="str">
        <f t="shared" si="10"/>
        <v/>
      </c>
    </row>
    <row r="110" spans="1:8" x14ac:dyDescent="0.3">
      <c r="B110" t="str">
        <f t="shared" si="6"/>
        <v/>
      </c>
      <c r="C110" s="13" t="str">
        <f>IF(A110="","",VLOOKUP(A110,YF_Spot[#All],5,))</f>
        <v/>
      </c>
      <c r="D110" s="12" t="str">
        <f t="shared" si="12"/>
        <v/>
      </c>
      <c r="E110" s="17" t="str">
        <f t="shared" si="11"/>
        <v/>
      </c>
      <c r="F110" s="12" t="str">
        <f t="shared" si="8"/>
        <v/>
      </c>
      <c r="G110" s="13" t="str">
        <f t="shared" si="9"/>
        <v/>
      </c>
      <c r="H110" s="13" t="str">
        <f t="shared" si="10"/>
        <v/>
      </c>
    </row>
    <row r="111" spans="1:8" x14ac:dyDescent="0.3">
      <c r="B111" t="str">
        <f t="shared" si="6"/>
        <v/>
      </c>
      <c r="C111" s="13" t="str">
        <f>IF(A111="","",VLOOKUP(A111,YF_Spot[#All],5,))</f>
        <v/>
      </c>
      <c r="D111" s="12" t="str">
        <f t="shared" si="12"/>
        <v/>
      </c>
      <c r="E111" s="17" t="str">
        <f t="shared" si="11"/>
        <v/>
      </c>
      <c r="F111" s="12" t="str">
        <f t="shared" si="8"/>
        <v/>
      </c>
      <c r="G111" s="13" t="str">
        <f t="shared" si="9"/>
        <v/>
      </c>
      <c r="H111" s="13" t="str">
        <f t="shared" si="10"/>
        <v/>
      </c>
    </row>
    <row r="112" spans="1:8" x14ac:dyDescent="0.3">
      <c r="B112" t="str">
        <f t="shared" si="6"/>
        <v/>
      </c>
      <c r="C112" s="13" t="str">
        <f>IF(A112="","",VLOOKUP(A112,YF_Spot[#All],5,))</f>
        <v/>
      </c>
      <c r="D112" s="12" t="str">
        <f t="shared" si="12"/>
        <v/>
      </c>
      <c r="E112" s="17" t="str">
        <f t="shared" si="11"/>
        <v/>
      </c>
      <c r="F112" s="12" t="str">
        <f t="shared" si="8"/>
        <v/>
      </c>
      <c r="G112" s="13" t="str">
        <f t="shared" si="9"/>
        <v/>
      </c>
      <c r="H112" s="13" t="str">
        <f t="shared" si="10"/>
        <v/>
      </c>
    </row>
    <row r="113" spans="2:8" x14ac:dyDescent="0.3">
      <c r="B113" t="str">
        <f t="shared" si="6"/>
        <v/>
      </c>
      <c r="C113" s="13" t="str">
        <f>IF(A113="","",VLOOKUP(A113,YF_Spot[#All],5,))</f>
        <v/>
      </c>
      <c r="D113" s="12" t="str">
        <f t="shared" si="12"/>
        <v/>
      </c>
      <c r="E113" s="17" t="str">
        <f t="shared" si="11"/>
        <v/>
      </c>
      <c r="F113" s="12" t="str">
        <f t="shared" si="8"/>
        <v/>
      </c>
      <c r="G113" s="13" t="str">
        <f t="shared" si="9"/>
        <v/>
      </c>
      <c r="H113" s="13" t="str">
        <f t="shared" si="10"/>
        <v/>
      </c>
    </row>
    <row r="114" spans="2:8" x14ac:dyDescent="0.3">
      <c r="B114" t="str">
        <f t="shared" si="6"/>
        <v/>
      </c>
      <c r="C114" s="13" t="str">
        <f>IF(A114="","",VLOOKUP(A114,YF_Spot[#All],5,))</f>
        <v/>
      </c>
      <c r="D114" s="12" t="str">
        <f t="shared" si="12"/>
        <v/>
      </c>
      <c r="E114" s="17" t="str">
        <f t="shared" si="11"/>
        <v/>
      </c>
      <c r="F114" s="12" t="str">
        <f t="shared" si="8"/>
        <v/>
      </c>
      <c r="G114" s="13" t="str">
        <f t="shared" si="9"/>
        <v/>
      </c>
      <c r="H114" s="13" t="str">
        <f t="shared" si="10"/>
        <v/>
      </c>
    </row>
    <row r="115" spans="2:8" x14ac:dyDescent="0.3">
      <c r="B115" t="str">
        <f t="shared" si="6"/>
        <v/>
      </c>
      <c r="C115" s="13" t="str">
        <f>IF(A115="","",VLOOKUP(A115,YF_Spot[#All],5,))</f>
        <v/>
      </c>
      <c r="D115" s="12" t="str">
        <f t="shared" si="12"/>
        <v/>
      </c>
      <c r="E115" s="17" t="str">
        <f t="shared" si="11"/>
        <v/>
      </c>
      <c r="F115" s="12" t="str">
        <f t="shared" si="8"/>
        <v/>
      </c>
      <c r="G115" s="13" t="str">
        <f t="shared" si="9"/>
        <v/>
      </c>
      <c r="H115" s="13" t="str">
        <f t="shared" si="10"/>
        <v/>
      </c>
    </row>
    <row r="116" spans="2:8" x14ac:dyDescent="0.3">
      <c r="B116" t="str">
        <f t="shared" si="6"/>
        <v/>
      </c>
      <c r="C116" s="13" t="str">
        <f>IF(A116="","",VLOOKUP(A116,YF_Spot[#All],5,))</f>
        <v/>
      </c>
      <c r="D116" s="12" t="str">
        <f t="shared" si="12"/>
        <v/>
      </c>
      <c r="E116" s="17" t="str">
        <f t="shared" si="11"/>
        <v/>
      </c>
      <c r="F116" s="12" t="str">
        <f t="shared" si="8"/>
        <v/>
      </c>
      <c r="G116" s="13" t="str">
        <f t="shared" si="9"/>
        <v/>
      </c>
      <c r="H116" s="13" t="str">
        <f t="shared" si="10"/>
        <v/>
      </c>
    </row>
    <row r="117" spans="2:8" x14ac:dyDescent="0.3">
      <c r="B117" t="str">
        <f t="shared" si="6"/>
        <v/>
      </c>
      <c r="C117" s="13" t="str">
        <f>IF(A117="","",VLOOKUP(A117,YF_Spot[#All],5,))</f>
        <v/>
      </c>
      <c r="D117" s="12" t="str">
        <f t="shared" si="12"/>
        <v/>
      </c>
      <c r="E117" s="17" t="str">
        <f t="shared" si="11"/>
        <v/>
      </c>
      <c r="F117" s="12" t="str">
        <f t="shared" si="8"/>
        <v/>
      </c>
      <c r="G117" s="13" t="str">
        <f t="shared" si="9"/>
        <v/>
      </c>
      <c r="H117" s="13" t="str">
        <f t="shared" si="10"/>
        <v/>
      </c>
    </row>
    <row r="118" spans="2:8" x14ac:dyDescent="0.3">
      <c r="B118" t="str">
        <f t="shared" si="6"/>
        <v/>
      </c>
      <c r="C118" s="13" t="str">
        <f>IF(A118="","",VLOOKUP(A118,YF_Spot[#All],5,))</f>
        <v/>
      </c>
      <c r="D118" s="12" t="str">
        <f t="shared" si="12"/>
        <v/>
      </c>
      <c r="E118" s="17" t="str">
        <f t="shared" si="11"/>
        <v/>
      </c>
      <c r="F118" s="12" t="str">
        <f t="shared" si="8"/>
        <v/>
      </c>
      <c r="G118" s="13" t="str">
        <f t="shared" si="9"/>
        <v/>
      </c>
      <c r="H118" s="13" t="str">
        <f t="shared" si="10"/>
        <v/>
      </c>
    </row>
    <row r="119" spans="2:8" x14ac:dyDescent="0.3">
      <c r="B119" t="str">
        <f t="shared" si="6"/>
        <v/>
      </c>
      <c r="C119" s="13" t="str">
        <f>IF(A119="","",VLOOKUP(A119,YF_Spot[#All],5,))</f>
        <v/>
      </c>
      <c r="D119" s="12" t="str">
        <f t="shared" si="12"/>
        <v/>
      </c>
      <c r="E119" s="17" t="str">
        <f t="shared" si="11"/>
        <v/>
      </c>
      <c r="F119" s="12" t="str">
        <f t="shared" si="8"/>
        <v/>
      </c>
      <c r="G119" s="13" t="str">
        <f t="shared" si="9"/>
        <v/>
      </c>
      <c r="H119" s="13" t="str">
        <f t="shared" si="10"/>
        <v/>
      </c>
    </row>
    <row r="120" spans="2:8" x14ac:dyDescent="0.3">
      <c r="B120" t="str">
        <f t="shared" si="6"/>
        <v/>
      </c>
      <c r="C120" s="13" t="str">
        <f>IF(A120="","",VLOOKUP(A120,YF_Spot[#All],5,))</f>
        <v/>
      </c>
      <c r="D120" s="12" t="str">
        <f t="shared" si="12"/>
        <v/>
      </c>
      <c r="E120" s="17" t="str">
        <f t="shared" si="11"/>
        <v/>
      </c>
      <c r="F120" s="12" t="str">
        <f t="shared" si="8"/>
        <v/>
      </c>
      <c r="G120" s="13" t="str">
        <f t="shared" si="9"/>
        <v/>
      </c>
      <c r="H120" s="13" t="str">
        <f t="shared" si="10"/>
        <v/>
      </c>
    </row>
    <row r="121" spans="2:8" x14ac:dyDescent="0.3">
      <c r="B121" t="str">
        <f t="shared" si="6"/>
        <v/>
      </c>
      <c r="C121" s="13" t="str">
        <f>IF(A121="","",VLOOKUP(A121,YF_Spot[#All],5,))</f>
        <v/>
      </c>
      <c r="D121" s="12" t="str">
        <f t="shared" si="12"/>
        <v/>
      </c>
      <c r="E121" s="17" t="str">
        <f t="shared" si="11"/>
        <v/>
      </c>
      <c r="F121" s="12" t="str">
        <f t="shared" si="8"/>
        <v/>
      </c>
      <c r="G121" s="13" t="str">
        <f t="shared" si="9"/>
        <v/>
      </c>
      <c r="H121" s="13" t="str">
        <f t="shared" si="10"/>
        <v/>
      </c>
    </row>
    <row r="122" spans="2:8" x14ac:dyDescent="0.3">
      <c r="B122" t="str">
        <f t="shared" si="6"/>
        <v/>
      </c>
      <c r="C122" s="13" t="str">
        <f>IF(A122="","",VLOOKUP(A122,YF_Spot[#All],5,))</f>
        <v/>
      </c>
      <c r="D122" s="12" t="str">
        <f t="shared" si="12"/>
        <v/>
      </c>
      <c r="E122" s="17" t="str">
        <f t="shared" si="11"/>
        <v/>
      </c>
      <c r="F122" s="12" t="str">
        <f t="shared" si="8"/>
        <v/>
      </c>
      <c r="G122" s="13" t="str">
        <f t="shared" si="9"/>
        <v/>
      </c>
      <c r="H122" s="13" t="str">
        <f t="shared" si="10"/>
        <v/>
      </c>
    </row>
    <row r="123" spans="2:8" x14ac:dyDescent="0.3">
      <c r="B123" t="str">
        <f t="shared" si="6"/>
        <v/>
      </c>
      <c r="C123" s="13" t="str">
        <f>IF(A123="","",VLOOKUP(A123,YF_Spot[#All],5,))</f>
        <v/>
      </c>
      <c r="D123" s="12" t="str">
        <f t="shared" si="12"/>
        <v/>
      </c>
      <c r="E123" s="17" t="str">
        <f t="shared" si="11"/>
        <v/>
      </c>
      <c r="F123" s="12" t="str">
        <f t="shared" si="8"/>
        <v/>
      </c>
      <c r="G123" s="13" t="str">
        <f t="shared" si="9"/>
        <v/>
      </c>
      <c r="H123" s="13" t="str">
        <f t="shared" si="10"/>
        <v/>
      </c>
    </row>
    <row r="124" spans="2:8" x14ac:dyDescent="0.3">
      <c r="B124" t="str">
        <f t="shared" si="6"/>
        <v/>
      </c>
      <c r="C124" s="13" t="str">
        <f>IF(A124="","",VLOOKUP(A124,YF_Spot[#All],5,))</f>
        <v/>
      </c>
      <c r="D124" s="12" t="str">
        <f t="shared" si="12"/>
        <v/>
      </c>
      <c r="E124" s="17" t="str">
        <f t="shared" si="11"/>
        <v/>
      </c>
      <c r="F124" s="12" t="str">
        <f t="shared" si="8"/>
        <v/>
      </c>
      <c r="G124" s="13" t="str">
        <f t="shared" si="9"/>
        <v/>
      </c>
      <c r="H124" s="13" t="str">
        <f t="shared" si="10"/>
        <v/>
      </c>
    </row>
    <row r="125" spans="2:8" x14ac:dyDescent="0.3">
      <c r="B125" t="str">
        <f t="shared" si="6"/>
        <v/>
      </c>
      <c r="C125" s="13" t="str">
        <f>IF(A125="","",VLOOKUP(A125,YF_Spot[#All],5,))</f>
        <v/>
      </c>
      <c r="D125" s="12" t="str">
        <f t="shared" si="12"/>
        <v/>
      </c>
      <c r="E125" s="17" t="str">
        <f t="shared" si="11"/>
        <v/>
      </c>
      <c r="F125" s="12" t="str">
        <f t="shared" si="8"/>
        <v/>
      </c>
      <c r="G125" s="13" t="str">
        <f t="shared" si="9"/>
        <v/>
      </c>
      <c r="H125" s="13" t="str">
        <f t="shared" si="10"/>
        <v/>
      </c>
    </row>
    <row r="126" spans="2:8" x14ac:dyDescent="0.3">
      <c r="B126" t="str">
        <f t="shared" si="6"/>
        <v/>
      </c>
      <c r="C126" s="13" t="str">
        <f>IF(A126="","",VLOOKUP(A126,YF_Spot[#All],5,))</f>
        <v/>
      </c>
      <c r="D126" s="12" t="str">
        <f t="shared" si="12"/>
        <v/>
      </c>
      <c r="E126" s="17" t="str">
        <f t="shared" si="11"/>
        <v/>
      </c>
      <c r="F126" s="12" t="str">
        <f t="shared" si="8"/>
        <v/>
      </c>
      <c r="G126" s="13" t="str">
        <f t="shared" si="9"/>
        <v/>
      </c>
      <c r="H126" s="13" t="str">
        <f t="shared" si="10"/>
        <v/>
      </c>
    </row>
    <row r="127" spans="2:8" x14ac:dyDescent="0.3">
      <c r="B127" t="str">
        <f t="shared" si="6"/>
        <v/>
      </c>
      <c r="C127" s="13" t="str">
        <f>IF(A127="","",VLOOKUP(A127,YF_Spot[#All],5,))</f>
        <v/>
      </c>
      <c r="D127" s="12" t="str">
        <f t="shared" si="12"/>
        <v/>
      </c>
      <c r="E127" s="17" t="str">
        <f t="shared" si="11"/>
        <v/>
      </c>
      <c r="F127" s="12" t="str">
        <f t="shared" si="8"/>
        <v/>
      </c>
      <c r="G127" s="13" t="str">
        <f t="shared" si="9"/>
        <v/>
      </c>
      <c r="H127" s="13" t="str">
        <f t="shared" si="10"/>
        <v/>
      </c>
    </row>
    <row r="128" spans="2:8" x14ac:dyDescent="0.3">
      <c r="B128" t="str">
        <f t="shared" si="6"/>
        <v/>
      </c>
      <c r="C128" s="13" t="str">
        <f>IF(A128="","",VLOOKUP(A128,YF_Spot[#All],5,))</f>
        <v/>
      </c>
      <c r="D128" s="12" t="str">
        <f t="shared" si="12"/>
        <v/>
      </c>
      <c r="E128" s="17" t="str">
        <f t="shared" si="11"/>
        <v/>
      </c>
      <c r="F128" s="12" t="str">
        <f t="shared" si="8"/>
        <v/>
      </c>
      <c r="G128" s="13" t="str">
        <f t="shared" si="9"/>
        <v/>
      </c>
      <c r="H128" s="13" t="str">
        <f t="shared" si="10"/>
        <v/>
      </c>
    </row>
    <row r="129" spans="2:8" x14ac:dyDescent="0.3">
      <c r="B129" t="str">
        <f t="shared" si="6"/>
        <v/>
      </c>
      <c r="C129" s="13" t="str">
        <f>IF(A129="","",VLOOKUP(A129,YF_Spot[#All],5,))</f>
        <v/>
      </c>
      <c r="D129" s="12" t="str">
        <f t="shared" si="12"/>
        <v/>
      </c>
      <c r="E129" s="17" t="str">
        <f t="shared" si="11"/>
        <v/>
      </c>
      <c r="F129" s="12" t="str">
        <f t="shared" si="8"/>
        <v/>
      </c>
      <c r="G129" s="13" t="str">
        <f t="shared" si="9"/>
        <v/>
      </c>
      <c r="H129" s="13" t="str">
        <f t="shared" si="10"/>
        <v/>
      </c>
    </row>
    <row r="130" spans="2:8" x14ac:dyDescent="0.3">
      <c r="B130" t="str">
        <f t="shared" si="6"/>
        <v/>
      </c>
      <c r="C130" s="13" t="str">
        <f>IF(A130="","",VLOOKUP(A130,YF_Spot[#All],5,))</f>
        <v/>
      </c>
      <c r="D130" s="12" t="str">
        <f t="shared" si="12"/>
        <v/>
      </c>
      <c r="E130" s="17" t="str">
        <f t="shared" si="11"/>
        <v/>
      </c>
      <c r="F130" s="12" t="str">
        <f t="shared" si="8"/>
        <v/>
      </c>
      <c r="G130" s="13" t="str">
        <f t="shared" si="9"/>
        <v/>
      </c>
      <c r="H130" s="13" t="str">
        <f t="shared" si="10"/>
        <v/>
      </c>
    </row>
    <row r="131" spans="2:8" x14ac:dyDescent="0.3">
      <c r="B131" t="str">
        <f t="shared" ref="B131:B194" si="13">IF(A131="","",_xlfn.RANK.EQ(A131,A:A,0))</f>
        <v/>
      </c>
      <c r="C131" s="13" t="str">
        <f>IF(A131="","",VLOOKUP(A131,YF_Spot[#All],5,))</f>
        <v/>
      </c>
      <c r="D131" s="12" t="str">
        <f t="shared" si="12"/>
        <v/>
      </c>
      <c r="E131" s="17" t="str">
        <f t="shared" si="11"/>
        <v/>
      </c>
      <c r="F131" s="12" t="str">
        <f t="shared" si="8"/>
        <v/>
      </c>
      <c r="G131" s="13" t="str">
        <f t="shared" si="9"/>
        <v/>
      </c>
      <c r="H131" s="13" t="str">
        <f t="shared" si="10"/>
        <v/>
      </c>
    </row>
    <row r="132" spans="2:8" x14ac:dyDescent="0.3">
      <c r="B132" t="str">
        <f t="shared" si="13"/>
        <v/>
      </c>
      <c r="C132" s="13" t="str">
        <f>IF(A132="","",VLOOKUP(A132,YF_Spot[#All],5,))</f>
        <v/>
      </c>
      <c r="D132" s="12" t="str">
        <f t="shared" si="12"/>
        <v/>
      </c>
      <c r="E132" s="17" t="str">
        <f t="shared" si="11"/>
        <v/>
      </c>
      <c r="F132" s="12" t="str">
        <f t="shared" ref="F132:F195" si="14">IF(A132="","",SQRT(E132))</f>
        <v/>
      </c>
      <c r="G132" s="13" t="str">
        <f t="shared" ref="G132:G195" si="15">IF(A132="","",C132*(1-2*F132))</f>
        <v/>
      </c>
      <c r="H132" s="13" t="str">
        <f t="shared" ref="H132:H195" si="16">IF(A132="","",C132*(1+2*F132))</f>
        <v/>
      </c>
    </row>
    <row r="133" spans="2:8" x14ac:dyDescent="0.3">
      <c r="B133" t="str">
        <f t="shared" si="13"/>
        <v/>
      </c>
      <c r="C133" s="13" t="str">
        <f>IF(A133="","",VLOOKUP(A133,YF_Spot[#All],5,))</f>
        <v/>
      </c>
      <c r="D133" s="12" t="str">
        <f t="shared" si="12"/>
        <v/>
      </c>
      <c r="E133" s="17" t="str">
        <f t="shared" ref="E133:E196" si="17">IF(A133="","",$P$1*E132+(1-$P$1)*D132^2)</f>
        <v/>
      </c>
      <c r="F133" s="12" t="str">
        <f t="shared" si="14"/>
        <v/>
      </c>
      <c r="G133" s="13" t="str">
        <f t="shared" si="15"/>
        <v/>
      </c>
      <c r="H133" s="13" t="str">
        <f t="shared" si="16"/>
        <v/>
      </c>
    </row>
    <row r="134" spans="2:8" x14ac:dyDescent="0.3">
      <c r="B134" t="str">
        <f t="shared" si="13"/>
        <v/>
      </c>
      <c r="C134" s="13" t="str">
        <f>IF(A134="","",VLOOKUP(A134,YF_Spot[#All],5,))</f>
        <v/>
      </c>
      <c r="D134" s="12" t="str">
        <f t="shared" si="12"/>
        <v/>
      </c>
      <c r="E134" s="17" t="str">
        <f t="shared" si="17"/>
        <v/>
      </c>
      <c r="F134" s="12" t="str">
        <f t="shared" si="14"/>
        <v/>
      </c>
      <c r="G134" s="13" t="str">
        <f t="shared" si="15"/>
        <v/>
      </c>
      <c r="H134" s="13" t="str">
        <f t="shared" si="16"/>
        <v/>
      </c>
    </row>
    <row r="135" spans="2:8" x14ac:dyDescent="0.3">
      <c r="B135" t="str">
        <f t="shared" si="13"/>
        <v/>
      </c>
      <c r="C135" s="13" t="str">
        <f>IF(A135="","",VLOOKUP(A135,YF_Spot[#All],5,))</f>
        <v/>
      </c>
      <c r="D135" s="12" t="str">
        <f t="shared" si="12"/>
        <v/>
      </c>
      <c r="E135" s="17" t="str">
        <f t="shared" si="17"/>
        <v/>
      </c>
      <c r="F135" s="12" t="str">
        <f t="shared" si="14"/>
        <v/>
      </c>
      <c r="G135" s="13" t="str">
        <f t="shared" si="15"/>
        <v/>
      </c>
      <c r="H135" s="13" t="str">
        <f t="shared" si="16"/>
        <v/>
      </c>
    </row>
    <row r="136" spans="2:8" x14ac:dyDescent="0.3">
      <c r="B136" t="str">
        <f t="shared" si="13"/>
        <v/>
      </c>
      <c r="C136" s="13" t="str">
        <f>IF(A136="","",VLOOKUP(A136,YF_Spot[#All],5,))</f>
        <v/>
      </c>
      <c r="D136" s="12" t="str">
        <f t="shared" si="12"/>
        <v/>
      </c>
      <c r="E136" s="17" t="str">
        <f t="shared" si="17"/>
        <v/>
      </c>
      <c r="F136" s="12" t="str">
        <f t="shared" si="14"/>
        <v/>
      </c>
      <c r="G136" s="13" t="str">
        <f t="shared" si="15"/>
        <v/>
      </c>
      <c r="H136" s="13" t="str">
        <f t="shared" si="16"/>
        <v/>
      </c>
    </row>
    <row r="137" spans="2:8" x14ac:dyDescent="0.3">
      <c r="B137" t="str">
        <f t="shared" si="13"/>
        <v/>
      </c>
      <c r="C137" s="13" t="str">
        <f>IF(A137="","",VLOOKUP(A137,YF_Spot[#All],5,))</f>
        <v/>
      </c>
      <c r="D137" s="12" t="str">
        <f t="shared" si="12"/>
        <v/>
      </c>
      <c r="E137" s="17" t="str">
        <f t="shared" si="17"/>
        <v/>
      </c>
      <c r="F137" s="12" t="str">
        <f t="shared" si="14"/>
        <v/>
      </c>
      <c r="G137" s="13" t="str">
        <f t="shared" si="15"/>
        <v/>
      </c>
      <c r="H137" s="13" t="str">
        <f t="shared" si="16"/>
        <v/>
      </c>
    </row>
    <row r="138" spans="2:8" x14ac:dyDescent="0.3">
      <c r="B138" t="str">
        <f t="shared" si="13"/>
        <v/>
      </c>
      <c r="C138" s="13" t="str">
        <f>IF(A138="","",VLOOKUP(A138,YF_Spot[#All],5,))</f>
        <v/>
      </c>
      <c r="D138" s="12" t="str">
        <f t="shared" si="12"/>
        <v/>
      </c>
      <c r="E138" s="17" t="str">
        <f t="shared" si="17"/>
        <v/>
      </c>
      <c r="F138" s="12" t="str">
        <f t="shared" si="14"/>
        <v/>
      </c>
      <c r="G138" s="13" t="str">
        <f t="shared" si="15"/>
        <v/>
      </c>
      <c r="H138" s="13" t="str">
        <f t="shared" si="16"/>
        <v/>
      </c>
    </row>
    <row r="139" spans="2:8" x14ac:dyDescent="0.3">
      <c r="B139" t="str">
        <f t="shared" si="13"/>
        <v/>
      </c>
      <c r="C139" s="13" t="str">
        <f>IF(A139="","",VLOOKUP(A139,YF_Spot[#All],5,))</f>
        <v/>
      </c>
      <c r="D139" s="12" t="str">
        <f t="shared" si="12"/>
        <v/>
      </c>
      <c r="E139" s="17" t="str">
        <f t="shared" si="17"/>
        <v/>
      </c>
      <c r="F139" s="12" t="str">
        <f t="shared" si="14"/>
        <v/>
      </c>
      <c r="G139" s="13" t="str">
        <f t="shared" si="15"/>
        <v/>
      </c>
      <c r="H139" s="13" t="str">
        <f t="shared" si="16"/>
        <v/>
      </c>
    </row>
    <row r="140" spans="2:8" x14ac:dyDescent="0.3">
      <c r="B140" t="str">
        <f t="shared" si="13"/>
        <v/>
      </c>
      <c r="C140" s="13" t="str">
        <f>IF(A140="","",VLOOKUP(A140,YF_Spot[#All],5,))</f>
        <v/>
      </c>
      <c r="D140" s="12" t="str">
        <f t="shared" si="12"/>
        <v/>
      </c>
      <c r="E140" s="17" t="str">
        <f t="shared" si="17"/>
        <v/>
      </c>
      <c r="F140" s="12" t="str">
        <f t="shared" si="14"/>
        <v/>
      </c>
      <c r="G140" s="13" t="str">
        <f t="shared" si="15"/>
        <v/>
      </c>
      <c r="H140" s="13" t="str">
        <f t="shared" si="16"/>
        <v/>
      </c>
    </row>
    <row r="141" spans="2:8" x14ac:dyDescent="0.3">
      <c r="B141" t="str">
        <f t="shared" si="13"/>
        <v/>
      </c>
      <c r="C141" s="13" t="str">
        <f>IF(A141="","",VLOOKUP(A141,YF_Spot[#All],5,))</f>
        <v/>
      </c>
      <c r="D141" s="12" t="str">
        <f t="shared" si="12"/>
        <v/>
      </c>
      <c r="E141" s="17" t="str">
        <f t="shared" si="17"/>
        <v/>
      </c>
      <c r="F141" s="12" t="str">
        <f t="shared" si="14"/>
        <v/>
      </c>
      <c r="G141" s="13" t="str">
        <f t="shared" si="15"/>
        <v/>
      </c>
      <c r="H141" s="13" t="str">
        <f t="shared" si="16"/>
        <v/>
      </c>
    </row>
    <row r="142" spans="2:8" x14ac:dyDescent="0.3">
      <c r="B142" t="str">
        <f t="shared" si="13"/>
        <v/>
      </c>
      <c r="C142" s="13" t="str">
        <f>IF(A142="","",VLOOKUP(A142,YF_Spot[#All],5,))</f>
        <v/>
      </c>
      <c r="D142" s="12" t="str">
        <f t="shared" si="12"/>
        <v/>
      </c>
      <c r="E142" s="17" t="str">
        <f t="shared" si="17"/>
        <v/>
      </c>
      <c r="F142" s="12" t="str">
        <f t="shared" si="14"/>
        <v/>
      </c>
      <c r="G142" s="13" t="str">
        <f t="shared" si="15"/>
        <v/>
      </c>
      <c r="H142" s="13" t="str">
        <f t="shared" si="16"/>
        <v/>
      </c>
    </row>
    <row r="143" spans="2:8" x14ac:dyDescent="0.3">
      <c r="B143" t="str">
        <f t="shared" si="13"/>
        <v/>
      </c>
      <c r="C143" s="13" t="str">
        <f>IF(A143="","",VLOOKUP(A143,YF_Spot[#All],5,))</f>
        <v/>
      </c>
      <c r="D143" s="12" t="str">
        <f t="shared" si="12"/>
        <v/>
      </c>
      <c r="E143" s="17" t="str">
        <f t="shared" si="17"/>
        <v/>
      </c>
      <c r="F143" s="12" t="str">
        <f t="shared" si="14"/>
        <v/>
      </c>
      <c r="G143" s="13" t="str">
        <f t="shared" si="15"/>
        <v/>
      </c>
      <c r="H143" s="13" t="str">
        <f t="shared" si="16"/>
        <v/>
      </c>
    </row>
    <row r="144" spans="2:8" x14ac:dyDescent="0.3">
      <c r="B144" t="str">
        <f t="shared" si="13"/>
        <v/>
      </c>
      <c r="C144" s="13" t="str">
        <f>IF(A144="","",VLOOKUP(A144,YF_Spot[#All],5,))</f>
        <v/>
      </c>
      <c r="D144" s="12" t="str">
        <f t="shared" si="12"/>
        <v/>
      </c>
      <c r="E144" s="17" t="str">
        <f t="shared" si="17"/>
        <v/>
      </c>
      <c r="F144" s="12" t="str">
        <f t="shared" si="14"/>
        <v/>
      </c>
      <c r="G144" s="13" t="str">
        <f t="shared" si="15"/>
        <v/>
      </c>
      <c r="H144" s="13" t="str">
        <f t="shared" si="16"/>
        <v/>
      </c>
    </row>
    <row r="145" spans="2:8" x14ac:dyDescent="0.3">
      <c r="B145" t="str">
        <f t="shared" si="13"/>
        <v/>
      </c>
      <c r="C145" s="13" t="str">
        <f>IF(A145="","",VLOOKUP(A145,YF_Spot[#All],5,))</f>
        <v/>
      </c>
      <c r="D145" s="12" t="str">
        <f t="shared" si="12"/>
        <v/>
      </c>
      <c r="E145" s="17" t="str">
        <f t="shared" si="17"/>
        <v/>
      </c>
      <c r="F145" s="12" t="str">
        <f t="shared" si="14"/>
        <v/>
      </c>
      <c r="G145" s="13" t="str">
        <f t="shared" si="15"/>
        <v/>
      </c>
      <c r="H145" s="13" t="str">
        <f t="shared" si="16"/>
        <v/>
      </c>
    </row>
    <row r="146" spans="2:8" x14ac:dyDescent="0.3">
      <c r="B146" t="str">
        <f t="shared" si="13"/>
        <v/>
      </c>
      <c r="C146" s="13" t="str">
        <f>IF(A146="","",VLOOKUP(A146,YF_Spot[#All],5,))</f>
        <v/>
      </c>
      <c r="D146" s="12" t="str">
        <f t="shared" si="12"/>
        <v/>
      </c>
      <c r="E146" s="17" t="str">
        <f t="shared" si="17"/>
        <v/>
      </c>
      <c r="F146" s="12" t="str">
        <f t="shared" si="14"/>
        <v/>
      </c>
      <c r="G146" s="13" t="str">
        <f t="shared" si="15"/>
        <v/>
      </c>
      <c r="H146" s="13" t="str">
        <f t="shared" si="16"/>
        <v/>
      </c>
    </row>
    <row r="147" spans="2:8" x14ac:dyDescent="0.3">
      <c r="B147" t="str">
        <f t="shared" si="13"/>
        <v/>
      </c>
      <c r="C147" s="13" t="str">
        <f>IF(A147="","",VLOOKUP(A147,YF_Spot[#All],5,))</f>
        <v/>
      </c>
      <c r="D147" s="12" t="str">
        <f t="shared" si="12"/>
        <v/>
      </c>
      <c r="E147" s="17" t="str">
        <f t="shared" si="17"/>
        <v/>
      </c>
      <c r="F147" s="12" t="str">
        <f t="shared" si="14"/>
        <v/>
      </c>
      <c r="G147" s="13" t="str">
        <f t="shared" si="15"/>
        <v/>
      </c>
      <c r="H147" s="13" t="str">
        <f t="shared" si="16"/>
        <v/>
      </c>
    </row>
    <row r="148" spans="2:8" x14ac:dyDescent="0.3">
      <c r="B148" t="str">
        <f t="shared" si="13"/>
        <v/>
      </c>
      <c r="C148" s="13" t="str">
        <f>IF(A148="","",VLOOKUP(A148,YF_Spot[#All],5,))</f>
        <v/>
      </c>
      <c r="D148" s="12" t="str">
        <f t="shared" si="12"/>
        <v/>
      </c>
      <c r="E148" s="17" t="str">
        <f t="shared" si="17"/>
        <v/>
      </c>
      <c r="F148" s="12" t="str">
        <f t="shared" si="14"/>
        <v/>
      </c>
      <c r="G148" s="13" t="str">
        <f t="shared" si="15"/>
        <v/>
      </c>
      <c r="H148" s="13" t="str">
        <f t="shared" si="16"/>
        <v/>
      </c>
    </row>
    <row r="149" spans="2:8" x14ac:dyDescent="0.3">
      <c r="B149" t="str">
        <f t="shared" si="13"/>
        <v/>
      </c>
      <c r="C149" s="13" t="str">
        <f>IF(A149="","",VLOOKUP(A149,YF_Spot[#All],5,))</f>
        <v/>
      </c>
      <c r="D149" s="12" t="str">
        <f t="shared" si="12"/>
        <v/>
      </c>
      <c r="E149" s="17" t="str">
        <f t="shared" si="17"/>
        <v/>
      </c>
      <c r="F149" s="12" t="str">
        <f t="shared" si="14"/>
        <v/>
      </c>
      <c r="G149" s="13" t="str">
        <f t="shared" si="15"/>
        <v/>
      </c>
      <c r="H149" s="13" t="str">
        <f t="shared" si="16"/>
        <v/>
      </c>
    </row>
    <row r="150" spans="2:8" x14ac:dyDescent="0.3">
      <c r="B150" t="str">
        <f t="shared" si="13"/>
        <v/>
      </c>
      <c r="C150" s="13" t="str">
        <f>IF(A150="","",VLOOKUP(A150,YF_Spot[#All],5,))</f>
        <v/>
      </c>
      <c r="D150" s="12" t="str">
        <f t="shared" si="12"/>
        <v/>
      </c>
      <c r="E150" s="17" t="str">
        <f t="shared" si="17"/>
        <v/>
      </c>
      <c r="F150" s="12" t="str">
        <f t="shared" si="14"/>
        <v/>
      </c>
      <c r="G150" s="13" t="str">
        <f t="shared" si="15"/>
        <v/>
      </c>
      <c r="H150" s="13" t="str">
        <f t="shared" si="16"/>
        <v/>
      </c>
    </row>
    <row r="151" spans="2:8" x14ac:dyDescent="0.3">
      <c r="B151" t="str">
        <f t="shared" si="13"/>
        <v/>
      </c>
      <c r="C151" s="13" t="str">
        <f>IF(A151="","",VLOOKUP(A151,YF_Spot[#All],5,))</f>
        <v/>
      </c>
      <c r="D151" s="12" t="str">
        <f t="shared" si="12"/>
        <v/>
      </c>
      <c r="E151" s="17" t="str">
        <f t="shared" si="17"/>
        <v/>
      </c>
      <c r="F151" s="12" t="str">
        <f t="shared" si="14"/>
        <v/>
      </c>
      <c r="G151" s="13" t="str">
        <f t="shared" si="15"/>
        <v/>
      </c>
      <c r="H151" s="13" t="str">
        <f t="shared" si="16"/>
        <v/>
      </c>
    </row>
    <row r="152" spans="2:8" x14ac:dyDescent="0.3">
      <c r="B152" t="str">
        <f t="shared" si="13"/>
        <v/>
      </c>
      <c r="C152" s="13" t="str">
        <f>IF(A152="","",VLOOKUP(A152,YF_Spot[#All],5,))</f>
        <v/>
      </c>
      <c r="D152" s="12" t="str">
        <f t="shared" si="12"/>
        <v/>
      </c>
      <c r="E152" s="17" t="str">
        <f t="shared" si="17"/>
        <v/>
      </c>
      <c r="F152" s="12" t="str">
        <f t="shared" si="14"/>
        <v/>
      </c>
      <c r="G152" s="13" t="str">
        <f t="shared" si="15"/>
        <v/>
      </c>
      <c r="H152" s="13" t="str">
        <f t="shared" si="16"/>
        <v/>
      </c>
    </row>
    <row r="153" spans="2:8" x14ac:dyDescent="0.3">
      <c r="B153" t="str">
        <f t="shared" si="13"/>
        <v/>
      </c>
      <c r="C153" s="13" t="str">
        <f>IF(A153="","",VLOOKUP(A153,YF_Spot[#All],5,))</f>
        <v/>
      </c>
      <c r="D153" s="12" t="str">
        <f t="shared" si="12"/>
        <v/>
      </c>
      <c r="E153" s="17" t="str">
        <f t="shared" si="17"/>
        <v/>
      </c>
      <c r="F153" s="12" t="str">
        <f t="shared" si="14"/>
        <v/>
      </c>
      <c r="G153" s="13" t="str">
        <f t="shared" si="15"/>
        <v/>
      </c>
      <c r="H153" s="13" t="str">
        <f t="shared" si="16"/>
        <v/>
      </c>
    </row>
    <row r="154" spans="2:8" x14ac:dyDescent="0.3">
      <c r="B154" t="str">
        <f t="shared" si="13"/>
        <v/>
      </c>
      <c r="C154" s="13" t="str">
        <f>IF(A154="","",VLOOKUP(A154,YF_Spot[#All],5,))</f>
        <v/>
      </c>
      <c r="D154" s="12" t="str">
        <f t="shared" si="12"/>
        <v/>
      </c>
      <c r="E154" s="17" t="str">
        <f t="shared" si="17"/>
        <v/>
      </c>
      <c r="F154" s="12" t="str">
        <f t="shared" si="14"/>
        <v/>
      </c>
      <c r="G154" s="13" t="str">
        <f t="shared" si="15"/>
        <v/>
      </c>
      <c r="H154" s="13" t="str">
        <f t="shared" si="16"/>
        <v/>
      </c>
    </row>
    <row r="155" spans="2:8" x14ac:dyDescent="0.3">
      <c r="B155" t="str">
        <f t="shared" si="13"/>
        <v/>
      </c>
      <c r="C155" s="13" t="str">
        <f>IF(A155="","",VLOOKUP(A155,YF_Spot[#All],5,))</f>
        <v/>
      </c>
      <c r="D155" s="12" t="str">
        <f t="shared" si="12"/>
        <v/>
      </c>
      <c r="E155" s="17" t="str">
        <f t="shared" si="17"/>
        <v/>
      </c>
      <c r="F155" s="12" t="str">
        <f t="shared" si="14"/>
        <v/>
      </c>
      <c r="G155" s="13" t="str">
        <f t="shared" si="15"/>
        <v/>
      </c>
      <c r="H155" s="13" t="str">
        <f t="shared" si="16"/>
        <v/>
      </c>
    </row>
    <row r="156" spans="2:8" x14ac:dyDescent="0.3">
      <c r="B156" t="str">
        <f t="shared" si="13"/>
        <v/>
      </c>
      <c r="C156" s="13" t="str">
        <f>IF(A156="","",VLOOKUP(A156,YF_Spot[#All],5,))</f>
        <v/>
      </c>
      <c r="D156" s="12" t="str">
        <f t="shared" si="12"/>
        <v/>
      </c>
      <c r="E156" s="17" t="str">
        <f t="shared" si="17"/>
        <v/>
      </c>
      <c r="F156" s="12" t="str">
        <f t="shared" si="14"/>
        <v/>
      </c>
      <c r="G156" s="13" t="str">
        <f t="shared" si="15"/>
        <v/>
      </c>
      <c r="H156" s="13" t="str">
        <f t="shared" si="16"/>
        <v/>
      </c>
    </row>
    <row r="157" spans="2:8" x14ac:dyDescent="0.3">
      <c r="B157" t="str">
        <f t="shared" si="13"/>
        <v/>
      </c>
      <c r="C157" s="13" t="str">
        <f>IF(A157="","",VLOOKUP(A157,YF_Spot[#All],5,))</f>
        <v/>
      </c>
      <c r="D157" s="12" t="str">
        <f t="shared" si="12"/>
        <v/>
      </c>
      <c r="E157" s="17" t="str">
        <f t="shared" si="17"/>
        <v/>
      </c>
      <c r="F157" s="12" t="str">
        <f t="shared" si="14"/>
        <v/>
      </c>
      <c r="G157" s="13" t="str">
        <f t="shared" si="15"/>
        <v/>
      </c>
      <c r="H157" s="13" t="str">
        <f t="shared" si="16"/>
        <v/>
      </c>
    </row>
    <row r="158" spans="2:8" x14ac:dyDescent="0.3">
      <c r="B158" t="str">
        <f t="shared" si="13"/>
        <v/>
      </c>
      <c r="C158" s="13" t="str">
        <f>IF(A158="","",VLOOKUP(A158,YF_Spot[#All],5,))</f>
        <v/>
      </c>
      <c r="D158" s="12" t="str">
        <f t="shared" si="12"/>
        <v/>
      </c>
      <c r="E158" s="17" t="str">
        <f t="shared" si="17"/>
        <v/>
      </c>
      <c r="F158" s="12" t="str">
        <f t="shared" si="14"/>
        <v/>
      </c>
      <c r="G158" s="13" t="str">
        <f t="shared" si="15"/>
        <v/>
      </c>
      <c r="H158" s="13" t="str">
        <f t="shared" si="16"/>
        <v/>
      </c>
    </row>
    <row r="159" spans="2:8" x14ac:dyDescent="0.3">
      <c r="B159" t="str">
        <f t="shared" si="13"/>
        <v/>
      </c>
      <c r="C159" s="13" t="str">
        <f>IF(A159="","",VLOOKUP(A159,YF_Spot[#All],5,))</f>
        <v/>
      </c>
      <c r="D159" s="12" t="str">
        <f t="shared" si="12"/>
        <v/>
      </c>
      <c r="E159" s="17" t="str">
        <f t="shared" si="17"/>
        <v/>
      </c>
      <c r="F159" s="12" t="str">
        <f t="shared" si="14"/>
        <v/>
      </c>
      <c r="G159" s="13" t="str">
        <f t="shared" si="15"/>
        <v/>
      </c>
      <c r="H159" s="13" t="str">
        <f t="shared" si="16"/>
        <v/>
      </c>
    </row>
    <row r="160" spans="2:8" x14ac:dyDescent="0.3">
      <c r="B160" t="str">
        <f t="shared" si="13"/>
        <v/>
      </c>
      <c r="C160" s="13" t="str">
        <f>IF(A160="","",VLOOKUP(A160,YF_Spot[#All],5,))</f>
        <v/>
      </c>
      <c r="D160" s="12" t="str">
        <f t="shared" si="12"/>
        <v/>
      </c>
      <c r="E160" s="17" t="str">
        <f t="shared" si="17"/>
        <v/>
      </c>
      <c r="F160" s="12" t="str">
        <f t="shared" si="14"/>
        <v/>
      </c>
      <c r="G160" s="13" t="str">
        <f t="shared" si="15"/>
        <v/>
      </c>
      <c r="H160" s="13" t="str">
        <f t="shared" si="16"/>
        <v/>
      </c>
    </row>
    <row r="161" spans="2:8" x14ac:dyDescent="0.3">
      <c r="B161" t="str">
        <f t="shared" si="13"/>
        <v/>
      </c>
      <c r="C161" s="13" t="str">
        <f>IF(A161="","",VLOOKUP(A161,YF_Spot[#All],5,))</f>
        <v/>
      </c>
      <c r="D161" s="12" t="str">
        <f t="shared" si="12"/>
        <v/>
      </c>
      <c r="E161" s="17" t="str">
        <f t="shared" si="17"/>
        <v/>
      </c>
      <c r="F161" s="12" t="str">
        <f t="shared" si="14"/>
        <v/>
      </c>
      <c r="G161" s="13" t="str">
        <f t="shared" si="15"/>
        <v/>
      </c>
      <c r="H161" s="13" t="str">
        <f t="shared" si="16"/>
        <v/>
      </c>
    </row>
    <row r="162" spans="2:8" x14ac:dyDescent="0.3">
      <c r="B162" t="str">
        <f t="shared" si="13"/>
        <v/>
      </c>
      <c r="C162" s="13" t="str">
        <f>IF(A162="","",VLOOKUP(A162,YF_Spot[#All],5,))</f>
        <v/>
      </c>
      <c r="D162" s="12" t="str">
        <f t="shared" si="12"/>
        <v/>
      </c>
      <c r="E162" s="17" t="str">
        <f t="shared" si="17"/>
        <v/>
      </c>
      <c r="F162" s="12" t="str">
        <f t="shared" si="14"/>
        <v/>
      </c>
      <c r="G162" s="13" t="str">
        <f t="shared" si="15"/>
        <v/>
      </c>
      <c r="H162" s="13" t="str">
        <f t="shared" si="16"/>
        <v/>
      </c>
    </row>
    <row r="163" spans="2:8" x14ac:dyDescent="0.3">
      <c r="B163" t="str">
        <f t="shared" si="13"/>
        <v/>
      </c>
      <c r="C163" s="13" t="str">
        <f>IF(A163="","",VLOOKUP(A163,YF_Spot[#All],5,))</f>
        <v/>
      </c>
      <c r="D163" s="12" t="str">
        <f t="shared" si="12"/>
        <v/>
      </c>
      <c r="E163" s="17" t="str">
        <f t="shared" si="17"/>
        <v/>
      </c>
      <c r="F163" s="12" t="str">
        <f t="shared" si="14"/>
        <v/>
      </c>
      <c r="G163" s="13" t="str">
        <f t="shared" si="15"/>
        <v/>
      </c>
      <c r="H163" s="13" t="str">
        <f t="shared" si="16"/>
        <v/>
      </c>
    </row>
    <row r="164" spans="2:8" x14ac:dyDescent="0.3">
      <c r="B164" t="str">
        <f t="shared" si="13"/>
        <v/>
      </c>
      <c r="C164" s="13" t="str">
        <f>IF(A164="","",VLOOKUP(A164,YF_Spot[#All],5,))</f>
        <v/>
      </c>
      <c r="D164" s="12" t="str">
        <f t="shared" ref="D164:D200" si="18">IF(A164="","",LN(C164/C163))</f>
        <v/>
      </c>
      <c r="E164" s="17" t="str">
        <f t="shared" si="17"/>
        <v/>
      </c>
      <c r="F164" s="12" t="str">
        <f t="shared" si="14"/>
        <v/>
      </c>
      <c r="G164" s="13" t="str">
        <f t="shared" si="15"/>
        <v/>
      </c>
      <c r="H164" s="13" t="str">
        <f t="shared" si="16"/>
        <v/>
      </c>
    </row>
    <row r="165" spans="2:8" x14ac:dyDescent="0.3">
      <c r="B165" t="str">
        <f t="shared" si="13"/>
        <v/>
      </c>
      <c r="C165" s="13" t="str">
        <f>IF(A165="","",VLOOKUP(A165,YF_Spot[#All],5,))</f>
        <v/>
      </c>
      <c r="D165" s="12" t="str">
        <f t="shared" si="18"/>
        <v/>
      </c>
      <c r="E165" s="17" t="str">
        <f t="shared" si="17"/>
        <v/>
      </c>
      <c r="F165" s="12" t="str">
        <f t="shared" si="14"/>
        <v/>
      </c>
      <c r="G165" s="13" t="str">
        <f t="shared" si="15"/>
        <v/>
      </c>
      <c r="H165" s="13" t="str">
        <f t="shared" si="16"/>
        <v/>
      </c>
    </row>
    <row r="166" spans="2:8" x14ac:dyDescent="0.3">
      <c r="B166" t="str">
        <f t="shared" si="13"/>
        <v/>
      </c>
      <c r="C166" s="13" t="str">
        <f>IF(A166="","",VLOOKUP(A166,YF_Spot[#All],5,))</f>
        <v/>
      </c>
      <c r="D166" s="12" t="str">
        <f t="shared" si="18"/>
        <v/>
      </c>
      <c r="E166" s="17" t="str">
        <f t="shared" si="17"/>
        <v/>
      </c>
      <c r="F166" s="12" t="str">
        <f t="shared" si="14"/>
        <v/>
      </c>
      <c r="G166" s="13" t="str">
        <f t="shared" si="15"/>
        <v/>
      </c>
      <c r="H166" s="13" t="str">
        <f t="shared" si="16"/>
        <v/>
      </c>
    </row>
    <row r="167" spans="2:8" x14ac:dyDescent="0.3">
      <c r="B167" t="str">
        <f t="shared" si="13"/>
        <v/>
      </c>
      <c r="C167" s="13" t="str">
        <f>IF(A167="","",VLOOKUP(A167,YF_Spot[#All],5,))</f>
        <v/>
      </c>
      <c r="D167" s="12" t="str">
        <f t="shared" si="18"/>
        <v/>
      </c>
      <c r="E167" s="17" t="str">
        <f t="shared" si="17"/>
        <v/>
      </c>
      <c r="F167" s="12" t="str">
        <f t="shared" si="14"/>
        <v/>
      </c>
      <c r="G167" s="13" t="str">
        <f t="shared" si="15"/>
        <v/>
      </c>
      <c r="H167" s="13" t="str">
        <f t="shared" si="16"/>
        <v/>
      </c>
    </row>
    <row r="168" spans="2:8" x14ac:dyDescent="0.3">
      <c r="B168" t="str">
        <f t="shared" si="13"/>
        <v/>
      </c>
      <c r="C168" s="13" t="str">
        <f>IF(A168="","",VLOOKUP(A168,YF_Spot[#All],5,))</f>
        <v/>
      </c>
      <c r="D168" s="12" t="str">
        <f t="shared" si="18"/>
        <v/>
      </c>
      <c r="E168" s="17" t="str">
        <f t="shared" si="17"/>
        <v/>
      </c>
      <c r="F168" s="12" t="str">
        <f t="shared" si="14"/>
        <v/>
      </c>
      <c r="G168" s="13" t="str">
        <f t="shared" si="15"/>
        <v/>
      </c>
      <c r="H168" s="13" t="str">
        <f t="shared" si="16"/>
        <v/>
      </c>
    </row>
    <row r="169" spans="2:8" x14ac:dyDescent="0.3">
      <c r="B169" t="str">
        <f t="shared" si="13"/>
        <v/>
      </c>
      <c r="C169" s="13" t="str">
        <f>IF(A169="","",VLOOKUP(A169,YF_Spot[#All],5,))</f>
        <v/>
      </c>
      <c r="D169" s="12" t="str">
        <f t="shared" si="18"/>
        <v/>
      </c>
      <c r="E169" s="17" t="str">
        <f t="shared" si="17"/>
        <v/>
      </c>
      <c r="F169" s="12" t="str">
        <f t="shared" si="14"/>
        <v/>
      </c>
      <c r="G169" s="13" t="str">
        <f t="shared" si="15"/>
        <v/>
      </c>
      <c r="H169" s="13" t="str">
        <f t="shared" si="16"/>
        <v/>
      </c>
    </row>
    <row r="170" spans="2:8" x14ac:dyDescent="0.3">
      <c r="B170" t="str">
        <f t="shared" si="13"/>
        <v/>
      </c>
      <c r="C170" s="13" t="str">
        <f>IF(A170="","",VLOOKUP(A170,YF_Spot[#All],5,))</f>
        <v/>
      </c>
      <c r="D170" s="12" t="str">
        <f t="shared" si="18"/>
        <v/>
      </c>
      <c r="E170" s="17" t="str">
        <f t="shared" si="17"/>
        <v/>
      </c>
      <c r="F170" s="12" t="str">
        <f t="shared" si="14"/>
        <v/>
      </c>
      <c r="G170" s="13" t="str">
        <f t="shared" si="15"/>
        <v/>
      </c>
      <c r="H170" s="13" t="str">
        <f t="shared" si="16"/>
        <v/>
      </c>
    </row>
    <row r="171" spans="2:8" x14ac:dyDescent="0.3">
      <c r="B171" t="str">
        <f t="shared" si="13"/>
        <v/>
      </c>
      <c r="C171" s="13" t="str">
        <f>IF(A171="","",VLOOKUP(A171,YF_Spot[#All],5,))</f>
        <v/>
      </c>
      <c r="D171" s="12" t="str">
        <f t="shared" si="18"/>
        <v/>
      </c>
      <c r="E171" s="17" t="str">
        <f t="shared" si="17"/>
        <v/>
      </c>
      <c r="F171" s="12" t="str">
        <f t="shared" si="14"/>
        <v/>
      </c>
      <c r="G171" s="13" t="str">
        <f t="shared" si="15"/>
        <v/>
      </c>
      <c r="H171" s="13" t="str">
        <f t="shared" si="16"/>
        <v/>
      </c>
    </row>
    <row r="172" spans="2:8" x14ac:dyDescent="0.3">
      <c r="B172" t="str">
        <f t="shared" si="13"/>
        <v/>
      </c>
      <c r="C172" s="13" t="str">
        <f>IF(A172="","",VLOOKUP(A172,YF_Spot[#All],5,))</f>
        <v/>
      </c>
      <c r="D172" s="12" t="str">
        <f t="shared" si="18"/>
        <v/>
      </c>
      <c r="E172" s="17" t="str">
        <f t="shared" si="17"/>
        <v/>
      </c>
      <c r="F172" s="12" t="str">
        <f t="shared" si="14"/>
        <v/>
      </c>
      <c r="G172" s="13" t="str">
        <f t="shared" si="15"/>
        <v/>
      </c>
      <c r="H172" s="13" t="str">
        <f t="shared" si="16"/>
        <v/>
      </c>
    </row>
    <row r="173" spans="2:8" x14ac:dyDescent="0.3">
      <c r="B173" t="str">
        <f t="shared" si="13"/>
        <v/>
      </c>
      <c r="C173" s="13" t="str">
        <f>IF(A173="","",VLOOKUP(A173,YF_Spot[#All],5,))</f>
        <v/>
      </c>
      <c r="D173" s="12" t="str">
        <f t="shared" si="18"/>
        <v/>
      </c>
      <c r="E173" s="17" t="str">
        <f t="shared" si="17"/>
        <v/>
      </c>
      <c r="F173" s="12" t="str">
        <f t="shared" si="14"/>
        <v/>
      </c>
      <c r="G173" s="13" t="str">
        <f t="shared" si="15"/>
        <v/>
      </c>
      <c r="H173" s="13" t="str">
        <f t="shared" si="16"/>
        <v/>
      </c>
    </row>
    <row r="174" spans="2:8" x14ac:dyDescent="0.3">
      <c r="B174" t="str">
        <f t="shared" si="13"/>
        <v/>
      </c>
      <c r="C174" s="13" t="str">
        <f>IF(A174="","",VLOOKUP(A174,YF_Spot[#All],5,))</f>
        <v/>
      </c>
      <c r="D174" s="12" t="str">
        <f t="shared" si="18"/>
        <v/>
      </c>
      <c r="E174" s="17" t="str">
        <f t="shared" si="17"/>
        <v/>
      </c>
      <c r="F174" s="12" t="str">
        <f t="shared" si="14"/>
        <v/>
      </c>
      <c r="G174" s="13" t="str">
        <f t="shared" si="15"/>
        <v/>
      </c>
      <c r="H174" s="13" t="str">
        <f t="shared" si="16"/>
        <v/>
      </c>
    </row>
    <row r="175" spans="2:8" x14ac:dyDescent="0.3">
      <c r="B175" t="str">
        <f t="shared" si="13"/>
        <v/>
      </c>
      <c r="C175" s="13" t="str">
        <f>IF(A175="","",VLOOKUP(A175,YF_Spot[#All],5,))</f>
        <v/>
      </c>
      <c r="D175" s="12" t="str">
        <f t="shared" si="18"/>
        <v/>
      </c>
      <c r="E175" s="17" t="str">
        <f t="shared" si="17"/>
        <v/>
      </c>
      <c r="F175" s="12" t="str">
        <f t="shared" si="14"/>
        <v/>
      </c>
      <c r="G175" s="13" t="str">
        <f t="shared" si="15"/>
        <v/>
      </c>
      <c r="H175" s="13" t="str">
        <f t="shared" si="16"/>
        <v/>
      </c>
    </row>
    <row r="176" spans="2:8" x14ac:dyDescent="0.3">
      <c r="B176" t="str">
        <f t="shared" si="13"/>
        <v/>
      </c>
      <c r="C176" s="13" t="str">
        <f>IF(A176="","",VLOOKUP(A176,YF_Spot[#All],5,))</f>
        <v/>
      </c>
      <c r="D176" s="12" t="str">
        <f t="shared" si="18"/>
        <v/>
      </c>
      <c r="E176" s="17" t="str">
        <f t="shared" si="17"/>
        <v/>
      </c>
      <c r="F176" s="12" t="str">
        <f t="shared" si="14"/>
        <v/>
      </c>
      <c r="G176" s="13" t="str">
        <f t="shared" si="15"/>
        <v/>
      </c>
      <c r="H176" s="13" t="str">
        <f t="shared" si="16"/>
        <v/>
      </c>
    </row>
    <row r="177" spans="2:8" x14ac:dyDescent="0.3">
      <c r="B177" t="str">
        <f t="shared" si="13"/>
        <v/>
      </c>
      <c r="C177" s="13" t="str">
        <f>IF(A177="","",VLOOKUP(A177,YF_Spot[#All],5,))</f>
        <v/>
      </c>
      <c r="D177" s="12" t="str">
        <f t="shared" si="18"/>
        <v/>
      </c>
      <c r="E177" s="17" t="str">
        <f t="shared" si="17"/>
        <v/>
      </c>
      <c r="F177" s="12" t="str">
        <f t="shared" si="14"/>
        <v/>
      </c>
      <c r="G177" s="13" t="str">
        <f t="shared" si="15"/>
        <v/>
      </c>
      <c r="H177" s="13" t="str">
        <f t="shared" si="16"/>
        <v/>
      </c>
    </row>
    <row r="178" spans="2:8" x14ac:dyDescent="0.3">
      <c r="B178" t="str">
        <f t="shared" si="13"/>
        <v/>
      </c>
      <c r="C178" s="13" t="str">
        <f>IF(A178="","",VLOOKUP(A178,YF_Spot[#All],5,))</f>
        <v/>
      </c>
      <c r="D178" s="12" t="str">
        <f t="shared" si="18"/>
        <v/>
      </c>
      <c r="E178" s="17" t="str">
        <f t="shared" si="17"/>
        <v/>
      </c>
      <c r="F178" s="12" t="str">
        <f t="shared" si="14"/>
        <v/>
      </c>
      <c r="G178" s="13" t="str">
        <f t="shared" si="15"/>
        <v/>
      </c>
      <c r="H178" s="13" t="str">
        <f t="shared" si="16"/>
        <v/>
      </c>
    </row>
    <row r="179" spans="2:8" x14ac:dyDescent="0.3">
      <c r="B179" t="str">
        <f t="shared" si="13"/>
        <v/>
      </c>
      <c r="C179" s="13" t="str">
        <f>IF(A179="","",VLOOKUP(A179,YF_Spot[#All],5,))</f>
        <v/>
      </c>
      <c r="D179" s="12" t="str">
        <f t="shared" si="18"/>
        <v/>
      </c>
      <c r="E179" s="17" t="str">
        <f t="shared" si="17"/>
        <v/>
      </c>
      <c r="F179" s="12" t="str">
        <f t="shared" si="14"/>
        <v/>
      </c>
      <c r="G179" s="13" t="str">
        <f t="shared" si="15"/>
        <v/>
      </c>
      <c r="H179" s="13" t="str">
        <f t="shared" si="16"/>
        <v/>
      </c>
    </row>
    <row r="180" spans="2:8" x14ac:dyDescent="0.3">
      <c r="B180" t="str">
        <f t="shared" si="13"/>
        <v/>
      </c>
      <c r="C180" s="13" t="str">
        <f>IF(A180="","",VLOOKUP(A180,YF_Spot[#All],5,))</f>
        <v/>
      </c>
      <c r="D180" s="12" t="str">
        <f t="shared" si="18"/>
        <v/>
      </c>
      <c r="E180" s="17" t="str">
        <f t="shared" si="17"/>
        <v/>
      </c>
      <c r="F180" s="12" t="str">
        <f t="shared" si="14"/>
        <v/>
      </c>
      <c r="G180" s="13" t="str">
        <f t="shared" si="15"/>
        <v/>
      </c>
      <c r="H180" s="13" t="str">
        <f t="shared" si="16"/>
        <v/>
      </c>
    </row>
    <row r="181" spans="2:8" x14ac:dyDescent="0.3">
      <c r="B181" t="str">
        <f t="shared" si="13"/>
        <v/>
      </c>
      <c r="C181" s="13" t="str">
        <f>IF(A181="","",VLOOKUP(A181,YF_Spot[#All],5,))</f>
        <v/>
      </c>
      <c r="D181" s="12" t="str">
        <f t="shared" si="18"/>
        <v/>
      </c>
      <c r="E181" s="17" t="str">
        <f t="shared" si="17"/>
        <v/>
      </c>
      <c r="F181" s="12" t="str">
        <f t="shared" si="14"/>
        <v/>
      </c>
      <c r="G181" s="13" t="str">
        <f t="shared" si="15"/>
        <v/>
      </c>
      <c r="H181" s="13" t="str">
        <f t="shared" si="16"/>
        <v/>
      </c>
    </row>
    <row r="182" spans="2:8" x14ac:dyDescent="0.3">
      <c r="B182" t="str">
        <f t="shared" si="13"/>
        <v/>
      </c>
      <c r="C182" s="13" t="str">
        <f>IF(A182="","",VLOOKUP(A182,YF_Spot[#All],5,))</f>
        <v/>
      </c>
      <c r="D182" s="12" t="str">
        <f t="shared" si="18"/>
        <v/>
      </c>
      <c r="E182" s="17" t="str">
        <f t="shared" si="17"/>
        <v/>
      </c>
      <c r="F182" s="12" t="str">
        <f t="shared" si="14"/>
        <v/>
      </c>
      <c r="G182" s="13" t="str">
        <f t="shared" si="15"/>
        <v/>
      </c>
      <c r="H182" s="13" t="str">
        <f t="shared" si="16"/>
        <v/>
      </c>
    </row>
    <row r="183" spans="2:8" x14ac:dyDescent="0.3">
      <c r="B183" t="str">
        <f t="shared" si="13"/>
        <v/>
      </c>
      <c r="C183" s="13" t="str">
        <f>IF(A183="","",VLOOKUP(A183,YF_Spot[#All],5,))</f>
        <v/>
      </c>
      <c r="D183" s="12" t="str">
        <f t="shared" si="18"/>
        <v/>
      </c>
      <c r="E183" s="17" t="str">
        <f t="shared" si="17"/>
        <v/>
      </c>
      <c r="F183" s="12" t="str">
        <f t="shared" si="14"/>
        <v/>
      </c>
      <c r="G183" s="13" t="str">
        <f t="shared" si="15"/>
        <v/>
      </c>
      <c r="H183" s="13" t="str">
        <f t="shared" si="16"/>
        <v/>
      </c>
    </row>
    <row r="184" spans="2:8" x14ac:dyDescent="0.3">
      <c r="B184" t="str">
        <f t="shared" si="13"/>
        <v/>
      </c>
      <c r="C184" s="13" t="str">
        <f>IF(A184="","",VLOOKUP(A184,YF_Spot[#All],5,))</f>
        <v/>
      </c>
      <c r="D184" s="12" t="str">
        <f t="shared" si="18"/>
        <v/>
      </c>
      <c r="E184" s="17" t="str">
        <f t="shared" si="17"/>
        <v/>
      </c>
      <c r="F184" s="12" t="str">
        <f t="shared" si="14"/>
        <v/>
      </c>
      <c r="G184" s="13" t="str">
        <f t="shared" si="15"/>
        <v/>
      </c>
      <c r="H184" s="13" t="str">
        <f t="shared" si="16"/>
        <v/>
      </c>
    </row>
    <row r="185" spans="2:8" x14ac:dyDescent="0.3">
      <c r="B185" t="str">
        <f t="shared" si="13"/>
        <v/>
      </c>
      <c r="C185" s="13" t="str">
        <f>IF(A185="","",VLOOKUP(A185,YF_Spot[#All],5,))</f>
        <v/>
      </c>
      <c r="D185" s="12" t="str">
        <f t="shared" si="18"/>
        <v/>
      </c>
      <c r="E185" s="17" t="str">
        <f t="shared" si="17"/>
        <v/>
      </c>
      <c r="F185" s="12" t="str">
        <f t="shared" si="14"/>
        <v/>
      </c>
      <c r="G185" s="13" t="str">
        <f t="shared" si="15"/>
        <v/>
      </c>
      <c r="H185" s="13" t="str">
        <f t="shared" si="16"/>
        <v/>
      </c>
    </row>
    <row r="186" spans="2:8" x14ac:dyDescent="0.3">
      <c r="B186" t="str">
        <f t="shared" si="13"/>
        <v/>
      </c>
      <c r="C186" s="13" t="str">
        <f>IF(A186="","",VLOOKUP(A186,YF_Spot[#All],5,))</f>
        <v/>
      </c>
      <c r="D186" s="12" t="str">
        <f t="shared" si="18"/>
        <v/>
      </c>
      <c r="E186" s="17" t="str">
        <f t="shared" si="17"/>
        <v/>
      </c>
      <c r="F186" s="12" t="str">
        <f t="shared" si="14"/>
        <v/>
      </c>
      <c r="G186" s="13" t="str">
        <f t="shared" si="15"/>
        <v/>
      </c>
      <c r="H186" s="13" t="str">
        <f t="shared" si="16"/>
        <v/>
      </c>
    </row>
    <row r="187" spans="2:8" x14ac:dyDescent="0.3">
      <c r="B187" t="str">
        <f t="shared" si="13"/>
        <v/>
      </c>
      <c r="C187" s="13" t="str">
        <f>IF(A187="","",VLOOKUP(A187,YF_Spot[#All],5,))</f>
        <v/>
      </c>
      <c r="D187" s="12" t="str">
        <f t="shared" si="18"/>
        <v/>
      </c>
      <c r="E187" s="17" t="str">
        <f t="shared" si="17"/>
        <v/>
      </c>
      <c r="F187" s="12" t="str">
        <f t="shared" si="14"/>
        <v/>
      </c>
      <c r="G187" s="13" t="str">
        <f t="shared" si="15"/>
        <v/>
      </c>
      <c r="H187" s="13" t="str">
        <f t="shared" si="16"/>
        <v/>
      </c>
    </row>
    <row r="188" spans="2:8" x14ac:dyDescent="0.3">
      <c r="B188" t="str">
        <f t="shared" si="13"/>
        <v/>
      </c>
      <c r="C188" s="13" t="str">
        <f>IF(A188="","",VLOOKUP(A188,YF_Spot[#All],5,))</f>
        <v/>
      </c>
      <c r="D188" s="12" t="str">
        <f t="shared" si="18"/>
        <v/>
      </c>
      <c r="E188" s="17" t="str">
        <f t="shared" si="17"/>
        <v/>
      </c>
      <c r="F188" s="12" t="str">
        <f t="shared" si="14"/>
        <v/>
      </c>
      <c r="G188" s="13" t="str">
        <f t="shared" si="15"/>
        <v/>
      </c>
      <c r="H188" s="13" t="str">
        <f t="shared" si="16"/>
        <v/>
      </c>
    </row>
    <row r="189" spans="2:8" x14ac:dyDescent="0.3">
      <c r="B189" t="str">
        <f t="shared" si="13"/>
        <v/>
      </c>
      <c r="C189" s="13" t="str">
        <f>IF(A189="","",VLOOKUP(A189,YF_Spot[#All],5,))</f>
        <v/>
      </c>
      <c r="D189" s="12" t="str">
        <f t="shared" si="18"/>
        <v/>
      </c>
      <c r="E189" s="17" t="str">
        <f t="shared" si="17"/>
        <v/>
      </c>
      <c r="F189" s="12" t="str">
        <f t="shared" si="14"/>
        <v/>
      </c>
      <c r="G189" s="13" t="str">
        <f t="shared" si="15"/>
        <v/>
      </c>
      <c r="H189" s="13" t="str">
        <f t="shared" si="16"/>
        <v/>
      </c>
    </row>
    <row r="190" spans="2:8" x14ac:dyDescent="0.3">
      <c r="B190" t="str">
        <f t="shared" si="13"/>
        <v/>
      </c>
      <c r="C190" s="13" t="str">
        <f>IF(A190="","",VLOOKUP(A190,YF_Spot[#All],5,))</f>
        <v/>
      </c>
      <c r="D190" s="12" t="str">
        <f t="shared" si="18"/>
        <v/>
      </c>
      <c r="E190" s="17" t="str">
        <f t="shared" si="17"/>
        <v/>
      </c>
      <c r="F190" s="12" t="str">
        <f t="shared" si="14"/>
        <v/>
      </c>
      <c r="G190" s="13" t="str">
        <f t="shared" si="15"/>
        <v/>
      </c>
      <c r="H190" s="13" t="str">
        <f t="shared" si="16"/>
        <v/>
      </c>
    </row>
    <row r="191" spans="2:8" x14ac:dyDescent="0.3">
      <c r="B191" t="str">
        <f t="shared" si="13"/>
        <v/>
      </c>
      <c r="C191" s="13" t="str">
        <f>IF(A191="","",VLOOKUP(A191,YF_Spot[#All],5,))</f>
        <v/>
      </c>
      <c r="D191" s="12" t="str">
        <f t="shared" si="18"/>
        <v/>
      </c>
      <c r="E191" s="17" t="str">
        <f t="shared" si="17"/>
        <v/>
      </c>
      <c r="F191" s="12" t="str">
        <f t="shared" si="14"/>
        <v/>
      </c>
      <c r="G191" s="13" t="str">
        <f t="shared" si="15"/>
        <v/>
      </c>
      <c r="H191" s="13" t="str">
        <f t="shared" si="16"/>
        <v/>
      </c>
    </row>
    <row r="192" spans="2:8" x14ac:dyDescent="0.3">
      <c r="B192" t="str">
        <f t="shared" si="13"/>
        <v/>
      </c>
      <c r="C192" s="13" t="str">
        <f>IF(A192="","",VLOOKUP(A192,YF_Spot[#All],5,))</f>
        <v/>
      </c>
      <c r="D192" s="12" t="str">
        <f t="shared" si="18"/>
        <v/>
      </c>
      <c r="E192" s="17" t="str">
        <f t="shared" si="17"/>
        <v/>
      </c>
      <c r="F192" s="12" t="str">
        <f t="shared" si="14"/>
        <v/>
      </c>
      <c r="G192" s="13" t="str">
        <f t="shared" si="15"/>
        <v/>
      </c>
      <c r="H192" s="13" t="str">
        <f t="shared" si="16"/>
        <v/>
      </c>
    </row>
    <row r="193" spans="1:8" x14ac:dyDescent="0.3">
      <c r="B193" t="str">
        <f t="shared" si="13"/>
        <v/>
      </c>
      <c r="C193" s="13" t="str">
        <f>IF(A193="","",VLOOKUP(A193,YF_Spot[#All],5,))</f>
        <v/>
      </c>
      <c r="D193" s="12" t="str">
        <f t="shared" si="18"/>
        <v/>
      </c>
      <c r="E193" s="17" t="str">
        <f t="shared" si="17"/>
        <v/>
      </c>
      <c r="F193" s="12" t="str">
        <f t="shared" si="14"/>
        <v/>
      </c>
      <c r="G193" s="13" t="str">
        <f t="shared" si="15"/>
        <v/>
      </c>
      <c r="H193" s="13" t="str">
        <f t="shared" si="16"/>
        <v/>
      </c>
    </row>
    <row r="194" spans="1:8" x14ac:dyDescent="0.3">
      <c r="B194" t="str">
        <f t="shared" si="13"/>
        <v/>
      </c>
      <c r="C194" s="13" t="str">
        <f>IF(A194="","",VLOOKUP(A194,YF_Spot[#All],5,))</f>
        <v/>
      </c>
      <c r="D194" s="12" t="str">
        <f t="shared" si="18"/>
        <v/>
      </c>
      <c r="E194" s="17" t="str">
        <f t="shared" si="17"/>
        <v/>
      </c>
      <c r="F194" s="12" t="str">
        <f t="shared" si="14"/>
        <v/>
      </c>
      <c r="G194" s="13" t="str">
        <f t="shared" si="15"/>
        <v/>
      </c>
      <c r="H194" s="13" t="str">
        <f t="shared" si="16"/>
        <v/>
      </c>
    </row>
    <row r="195" spans="1:8" x14ac:dyDescent="0.3">
      <c r="B195" t="str">
        <f t="shared" ref="B195:B200" si="19">IF(A195="","",_xlfn.RANK.EQ(A195,A:A,0))</f>
        <v/>
      </c>
      <c r="C195" s="13" t="str">
        <f>IF(A195="","",VLOOKUP(A195,YF_Spot[#All],5,))</f>
        <v/>
      </c>
      <c r="D195" s="12" t="str">
        <f t="shared" si="18"/>
        <v/>
      </c>
      <c r="E195" s="17" t="str">
        <f t="shared" si="17"/>
        <v/>
      </c>
      <c r="F195" s="12" t="str">
        <f t="shared" si="14"/>
        <v/>
      </c>
      <c r="G195" s="13" t="str">
        <f t="shared" si="15"/>
        <v/>
      </c>
      <c r="H195" s="13" t="str">
        <f t="shared" si="16"/>
        <v/>
      </c>
    </row>
    <row r="196" spans="1:8" x14ac:dyDescent="0.3">
      <c r="B196" t="str">
        <f t="shared" si="19"/>
        <v/>
      </c>
      <c r="C196" s="13" t="str">
        <f>IF(A196="","",VLOOKUP(A196,YF_Spot[#All],5,))</f>
        <v/>
      </c>
      <c r="D196" s="12" t="str">
        <f t="shared" si="18"/>
        <v/>
      </c>
      <c r="E196" s="17" t="str">
        <f t="shared" si="17"/>
        <v/>
      </c>
      <c r="F196" s="12" t="str">
        <f t="shared" ref="F196:F200" si="20">IF(A196="","",SQRT(E196))</f>
        <v/>
      </c>
      <c r="G196" s="13" t="str">
        <f t="shared" ref="G196:G200" si="21">IF(A196="","",C196*(1-2*F196))</f>
        <v/>
      </c>
      <c r="H196" s="13" t="str">
        <f t="shared" ref="H196:H200" si="22">IF(A196="","",C196*(1+2*F196))</f>
        <v/>
      </c>
    </row>
    <row r="197" spans="1:8" x14ac:dyDescent="0.3">
      <c r="B197" t="str">
        <f t="shared" si="19"/>
        <v/>
      </c>
      <c r="C197" s="13" t="str">
        <f>IF(A197="","",VLOOKUP(A197,YF_Spot[#All],5,))</f>
        <v/>
      </c>
      <c r="D197" s="12" t="str">
        <f t="shared" si="18"/>
        <v/>
      </c>
      <c r="E197" s="17" t="str">
        <f t="shared" ref="E197:E200" si="23">IF(A197="","",$P$1*E196+(1-$P$1)*D196^2)</f>
        <v/>
      </c>
      <c r="F197" s="12" t="str">
        <f t="shared" si="20"/>
        <v/>
      </c>
      <c r="G197" s="13" t="str">
        <f t="shared" si="21"/>
        <v/>
      </c>
      <c r="H197" s="13" t="str">
        <f t="shared" si="22"/>
        <v/>
      </c>
    </row>
    <row r="198" spans="1:8" x14ac:dyDescent="0.3">
      <c r="B198" t="str">
        <f t="shared" si="19"/>
        <v/>
      </c>
      <c r="C198" s="13" t="str">
        <f>IF(A198="","",VLOOKUP(A198,YF_Spot[#All],5,))</f>
        <v/>
      </c>
      <c r="D198" s="12" t="str">
        <f t="shared" si="18"/>
        <v/>
      </c>
      <c r="E198" s="17" t="str">
        <f t="shared" si="23"/>
        <v/>
      </c>
      <c r="F198" s="12" t="str">
        <f t="shared" si="20"/>
        <v/>
      </c>
      <c r="G198" s="13" t="str">
        <f t="shared" si="21"/>
        <v/>
      </c>
      <c r="H198" s="13" t="str">
        <f t="shared" si="22"/>
        <v/>
      </c>
    </row>
    <row r="199" spans="1:8" x14ac:dyDescent="0.3">
      <c r="B199" t="str">
        <f t="shared" si="19"/>
        <v/>
      </c>
      <c r="C199" s="13" t="str">
        <f>IF(A199="","",VLOOKUP(A199,YF_Spot[#All],5,))</f>
        <v/>
      </c>
      <c r="D199" s="12" t="str">
        <f t="shared" si="18"/>
        <v/>
      </c>
      <c r="E199" s="17" t="str">
        <f t="shared" si="23"/>
        <v/>
      </c>
      <c r="F199" s="12" t="str">
        <f t="shared" si="20"/>
        <v/>
      </c>
      <c r="G199" s="13" t="str">
        <f t="shared" si="21"/>
        <v/>
      </c>
      <c r="H199" s="13" t="str">
        <f t="shared" si="22"/>
        <v/>
      </c>
    </row>
    <row r="200" spans="1:8" x14ac:dyDescent="0.3">
      <c r="A200" s="14"/>
      <c r="B200" s="15" t="str">
        <f t="shared" si="19"/>
        <v/>
      </c>
      <c r="C200" s="33" t="str">
        <f>IF(A200="","",VLOOKUP(A200,YF_Spot[#All],5,))</f>
        <v/>
      </c>
      <c r="D200" s="16" t="str">
        <f t="shared" si="18"/>
        <v/>
      </c>
      <c r="E200" s="17" t="str">
        <f t="shared" si="23"/>
        <v/>
      </c>
      <c r="F200" s="12" t="str">
        <f t="shared" si="20"/>
        <v/>
      </c>
      <c r="G200" s="13" t="str">
        <f t="shared" si="21"/>
        <v/>
      </c>
      <c r="H200" s="13" t="str">
        <f t="shared" si="22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2B280-9EC1-4C41-A779-D1F19F7A9209}">
  <sheetPr codeName="Sheet7">
    <tabColor rgb="FF0070C0"/>
  </sheetPr>
  <dimension ref="A1:K85"/>
  <sheetViews>
    <sheetView showGridLines="0" workbookViewId="0"/>
  </sheetViews>
  <sheetFormatPr defaultRowHeight="14.4" x14ac:dyDescent="0.3"/>
  <cols>
    <col min="1" max="1" width="20.44140625" bestFit="1" customWidth="1"/>
    <col min="2" max="2" width="21.77734375" bestFit="1" customWidth="1"/>
    <col min="3" max="3" width="8" bestFit="1" customWidth="1"/>
    <col min="4" max="4" width="11.109375" bestFit="1" customWidth="1"/>
    <col min="5" max="6" width="7" bestFit="1" customWidth="1"/>
    <col min="7" max="7" width="9.5546875" bestFit="1" customWidth="1"/>
    <col min="8" max="8" width="11.44140625" bestFit="1" customWidth="1"/>
    <col min="9" max="9" width="9.77734375" bestFit="1" customWidth="1"/>
    <col min="10" max="10" width="14.6640625" bestFit="1" customWidth="1"/>
    <col min="11" max="11" width="17.5546875" bestFit="1" customWidth="1"/>
  </cols>
  <sheetData>
    <row r="1" spans="1:11" x14ac:dyDescent="0.3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6</v>
      </c>
      <c r="J1" t="s">
        <v>25</v>
      </c>
      <c r="K1" t="s">
        <v>26</v>
      </c>
    </row>
    <row r="2" spans="1:11" x14ac:dyDescent="0.3">
      <c r="A2" s="2" t="s">
        <v>393</v>
      </c>
      <c r="B2" s="2" t="s">
        <v>136</v>
      </c>
      <c r="C2">
        <v>140</v>
      </c>
      <c r="D2">
        <v>0.36</v>
      </c>
      <c r="E2">
        <v>0.34</v>
      </c>
      <c r="F2">
        <v>0.37</v>
      </c>
      <c r="G2">
        <v>-0.15</v>
      </c>
      <c r="H2" s="2" t="s">
        <v>394</v>
      </c>
      <c r="I2" s="2" t="s">
        <v>395</v>
      </c>
      <c r="J2">
        <v>90626</v>
      </c>
      <c r="K2">
        <v>0.28320000000000001</v>
      </c>
    </row>
    <row r="3" spans="1:11" x14ac:dyDescent="0.3">
      <c r="A3" s="2" t="s">
        <v>396</v>
      </c>
      <c r="B3" s="2" t="s">
        <v>136</v>
      </c>
      <c r="C3">
        <v>135</v>
      </c>
      <c r="D3">
        <v>1.84</v>
      </c>
      <c r="E3">
        <v>1.84</v>
      </c>
      <c r="F3">
        <v>1.85</v>
      </c>
      <c r="G3">
        <v>-0.24</v>
      </c>
      <c r="H3" s="2" t="s">
        <v>397</v>
      </c>
      <c r="I3" s="2" t="s">
        <v>398</v>
      </c>
      <c r="J3">
        <v>74413</v>
      </c>
      <c r="K3">
        <v>0.26269999999999999</v>
      </c>
    </row>
    <row r="4" spans="1:11" x14ac:dyDescent="0.3">
      <c r="A4" s="2" t="s">
        <v>399</v>
      </c>
      <c r="B4" s="2" t="s">
        <v>136</v>
      </c>
      <c r="C4">
        <v>145</v>
      </c>
      <c r="D4">
        <v>0.11</v>
      </c>
      <c r="E4">
        <v>0.1</v>
      </c>
      <c r="F4">
        <v>0.11</v>
      </c>
      <c r="G4">
        <v>-0.02</v>
      </c>
      <c r="H4" s="2" t="s">
        <v>400</v>
      </c>
      <c r="I4" s="2" t="s">
        <v>401</v>
      </c>
      <c r="J4">
        <v>69983</v>
      </c>
      <c r="K4">
        <v>0.34960000000000002</v>
      </c>
    </row>
    <row r="5" spans="1:11" x14ac:dyDescent="0.3">
      <c r="A5" s="2" t="s">
        <v>402</v>
      </c>
      <c r="B5" s="2" t="s">
        <v>136</v>
      </c>
      <c r="C5">
        <v>130</v>
      </c>
      <c r="D5">
        <v>5.79</v>
      </c>
      <c r="E5">
        <v>5.6</v>
      </c>
      <c r="F5">
        <v>5.8</v>
      </c>
      <c r="G5">
        <v>0.09</v>
      </c>
      <c r="H5" s="2" t="s">
        <v>403</v>
      </c>
      <c r="I5" s="2" t="s">
        <v>404</v>
      </c>
      <c r="J5">
        <v>68497</v>
      </c>
      <c r="K5">
        <v>0.34129999999999999</v>
      </c>
    </row>
    <row r="6" spans="1:11" x14ac:dyDescent="0.3">
      <c r="A6" s="2" t="s">
        <v>405</v>
      </c>
      <c r="B6" s="2" t="s">
        <v>140</v>
      </c>
      <c r="C6">
        <v>150</v>
      </c>
      <c r="D6">
        <v>0.06</v>
      </c>
      <c r="E6">
        <v>0.05</v>
      </c>
      <c r="F6">
        <v>0.06</v>
      </c>
      <c r="G6">
        <v>-0.01</v>
      </c>
      <c r="H6" s="2" t="s">
        <v>406</v>
      </c>
      <c r="I6" s="2" t="s">
        <v>407</v>
      </c>
      <c r="J6">
        <v>59426</v>
      </c>
      <c r="K6">
        <v>0.43559999999999999</v>
      </c>
    </row>
    <row r="7" spans="1:11" x14ac:dyDescent="0.3">
      <c r="A7" s="2" t="s">
        <v>408</v>
      </c>
      <c r="B7" s="2" t="s">
        <v>187</v>
      </c>
      <c r="C7">
        <v>125</v>
      </c>
      <c r="D7">
        <v>10.55</v>
      </c>
      <c r="E7">
        <v>10.45</v>
      </c>
      <c r="F7">
        <v>10.65</v>
      </c>
      <c r="G7">
        <v>0.25</v>
      </c>
      <c r="H7" s="2" t="s">
        <v>409</v>
      </c>
      <c r="I7" s="2" t="s">
        <v>410</v>
      </c>
      <c r="J7">
        <v>25663</v>
      </c>
      <c r="K7">
        <v>0.49020000000000002</v>
      </c>
    </row>
    <row r="8" spans="1:11" x14ac:dyDescent="0.3">
      <c r="A8" s="2" t="s">
        <v>411</v>
      </c>
      <c r="B8" s="2" t="s">
        <v>230</v>
      </c>
      <c r="C8">
        <v>160</v>
      </c>
      <c r="D8">
        <v>0.02</v>
      </c>
      <c r="E8">
        <v>0.02</v>
      </c>
      <c r="F8">
        <v>0.03</v>
      </c>
      <c r="G8">
        <v>-0.01</v>
      </c>
      <c r="H8" s="2" t="s">
        <v>159</v>
      </c>
      <c r="I8" s="2" t="s">
        <v>412</v>
      </c>
      <c r="J8">
        <v>23464</v>
      </c>
      <c r="K8">
        <v>0.58589999999999998</v>
      </c>
    </row>
    <row r="9" spans="1:11" x14ac:dyDescent="0.3">
      <c r="A9" s="2" t="s">
        <v>413</v>
      </c>
      <c r="B9" s="2" t="s">
        <v>136</v>
      </c>
      <c r="C9">
        <v>120</v>
      </c>
      <c r="D9">
        <v>15.5</v>
      </c>
      <c r="E9">
        <v>15.4</v>
      </c>
      <c r="F9">
        <v>15.6</v>
      </c>
      <c r="G9">
        <v>0.28999999999999998</v>
      </c>
      <c r="H9" s="2" t="s">
        <v>414</v>
      </c>
      <c r="I9" s="2" t="s">
        <v>415</v>
      </c>
      <c r="J9">
        <v>22077</v>
      </c>
      <c r="K9">
        <v>0.57809999999999995</v>
      </c>
    </row>
    <row r="10" spans="1:11" x14ac:dyDescent="0.3">
      <c r="A10" s="2" t="s">
        <v>416</v>
      </c>
      <c r="B10" s="2" t="s">
        <v>140</v>
      </c>
      <c r="C10">
        <v>155</v>
      </c>
      <c r="D10">
        <v>0.04</v>
      </c>
      <c r="E10">
        <v>0.03</v>
      </c>
      <c r="F10">
        <v>0.04</v>
      </c>
      <c r="G10">
        <v>0</v>
      </c>
      <c r="H10" s="2" t="s">
        <v>27</v>
      </c>
      <c r="I10" s="2" t="s">
        <v>417</v>
      </c>
      <c r="J10">
        <v>21426</v>
      </c>
      <c r="K10">
        <v>0.51170000000000004</v>
      </c>
    </row>
    <row r="11" spans="1:11" x14ac:dyDescent="0.3">
      <c r="A11" s="2" t="s">
        <v>418</v>
      </c>
      <c r="B11" s="2" t="s">
        <v>136</v>
      </c>
      <c r="C11">
        <v>136</v>
      </c>
      <c r="D11">
        <v>1.36</v>
      </c>
      <c r="E11">
        <v>1.34</v>
      </c>
      <c r="F11">
        <v>1.37</v>
      </c>
      <c r="G11">
        <v>-0.25</v>
      </c>
      <c r="H11" s="2" t="s">
        <v>419</v>
      </c>
      <c r="I11" s="2" t="s">
        <v>420</v>
      </c>
      <c r="J11">
        <v>21417</v>
      </c>
      <c r="K11">
        <v>0.26290000000000002</v>
      </c>
    </row>
    <row r="12" spans="1:11" x14ac:dyDescent="0.3">
      <c r="A12" s="2" t="s">
        <v>421</v>
      </c>
      <c r="B12" s="2" t="s">
        <v>422</v>
      </c>
      <c r="C12">
        <v>165</v>
      </c>
      <c r="D12">
        <v>0.02</v>
      </c>
      <c r="E12">
        <v>0.01</v>
      </c>
      <c r="F12">
        <v>0.02</v>
      </c>
      <c r="G12">
        <v>0</v>
      </c>
      <c r="H12" s="2" t="s">
        <v>27</v>
      </c>
      <c r="I12" s="2" t="s">
        <v>423</v>
      </c>
      <c r="J12">
        <v>20672</v>
      </c>
      <c r="K12">
        <v>0.64059999999999995</v>
      </c>
    </row>
    <row r="13" spans="1:11" x14ac:dyDescent="0.3">
      <c r="A13" s="2" t="s">
        <v>424</v>
      </c>
      <c r="B13" s="2" t="s">
        <v>136</v>
      </c>
      <c r="C13">
        <v>137</v>
      </c>
      <c r="D13">
        <v>0.99</v>
      </c>
      <c r="E13">
        <v>0.94</v>
      </c>
      <c r="F13">
        <v>0.99</v>
      </c>
      <c r="G13">
        <v>-0.23</v>
      </c>
      <c r="H13" s="2" t="s">
        <v>425</v>
      </c>
      <c r="I13" s="2" t="s">
        <v>426</v>
      </c>
      <c r="J13">
        <v>18732</v>
      </c>
      <c r="K13">
        <v>0.26419999999999999</v>
      </c>
    </row>
    <row r="14" spans="1:11" x14ac:dyDescent="0.3">
      <c r="A14" s="2" t="s">
        <v>427</v>
      </c>
      <c r="B14" s="2" t="s">
        <v>187</v>
      </c>
      <c r="C14">
        <v>170</v>
      </c>
      <c r="D14">
        <v>0.01</v>
      </c>
      <c r="E14">
        <v>0</v>
      </c>
      <c r="F14">
        <v>0.01</v>
      </c>
      <c r="G14">
        <v>-0.01</v>
      </c>
      <c r="H14" s="2" t="s">
        <v>30</v>
      </c>
      <c r="I14" s="2" t="s">
        <v>428</v>
      </c>
      <c r="J14">
        <v>16759</v>
      </c>
      <c r="K14">
        <v>0.65629999999999999</v>
      </c>
    </row>
    <row r="15" spans="1:11" x14ac:dyDescent="0.3">
      <c r="A15" s="2" t="s">
        <v>429</v>
      </c>
      <c r="B15" s="2" t="s">
        <v>430</v>
      </c>
      <c r="C15">
        <v>180</v>
      </c>
      <c r="D15">
        <v>0.01</v>
      </c>
      <c r="E15">
        <v>0</v>
      </c>
      <c r="F15">
        <v>0.01</v>
      </c>
      <c r="G15">
        <v>0</v>
      </c>
      <c r="H15" s="2" t="s">
        <v>27</v>
      </c>
      <c r="I15" s="2" t="s">
        <v>431</v>
      </c>
      <c r="J15">
        <v>16322</v>
      </c>
      <c r="K15">
        <v>0.8125</v>
      </c>
    </row>
    <row r="16" spans="1:11" x14ac:dyDescent="0.3">
      <c r="A16" s="2" t="s">
        <v>432</v>
      </c>
      <c r="B16" s="2" t="s">
        <v>136</v>
      </c>
      <c r="C16">
        <v>142</v>
      </c>
      <c r="D16">
        <v>0.21</v>
      </c>
      <c r="E16">
        <v>0.2</v>
      </c>
      <c r="F16">
        <v>0.21</v>
      </c>
      <c r="G16">
        <v>-0.1</v>
      </c>
      <c r="H16" s="2" t="s">
        <v>433</v>
      </c>
      <c r="I16" s="2" t="s">
        <v>434</v>
      </c>
      <c r="J16">
        <v>15552</v>
      </c>
      <c r="K16">
        <v>0.30620000000000003</v>
      </c>
    </row>
    <row r="17" spans="1:11" x14ac:dyDescent="0.3">
      <c r="A17" s="2" t="s">
        <v>435</v>
      </c>
      <c r="B17" s="2" t="s">
        <v>136</v>
      </c>
      <c r="C17">
        <v>138</v>
      </c>
      <c r="D17">
        <v>0.69</v>
      </c>
      <c r="E17">
        <v>0.68</v>
      </c>
      <c r="F17">
        <v>0.7</v>
      </c>
      <c r="G17">
        <v>-0.23</v>
      </c>
      <c r="H17" s="2" t="s">
        <v>298</v>
      </c>
      <c r="I17" s="2" t="s">
        <v>436</v>
      </c>
      <c r="J17">
        <v>13963</v>
      </c>
      <c r="K17">
        <v>0.2666</v>
      </c>
    </row>
    <row r="18" spans="1:11" x14ac:dyDescent="0.3">
      <c r="A18" s="2" t="s">
        <v>437</v>
      </c>
      <c r="B18" s="2" t="s">
        <v>136</v>
      </c>
      <c r="C18">
        <v>134</v>
      </c>
      <c r="D18">
        <v>2.4700000000000002</v>
      </c>
      <c r="E18">
        <v>2.38</v>
      </c>
      <c r="F18">
        <v>2.4900000000000002</v>
      </c>
      <c r="G18">
        <v>-0.19</v>
      </c>
      <c r="H18" s="2" t="s">
        <v>438</v>
      </c>
      <c r="I18" s="2" t="s">
        <v>439</v>
      </c>
      <c r="J18">
        <v>12525</v>
      </c>
      <c r="K18">
        <v>0.27339999999999998</v>
      </c>
    </row>
    <row r="19" spans="1:11" x14ac:dyDescent="0.3">
      <c r="A19" s="2" t="s">
        <v>440</v>
      </c>
      <c r="B19" s="2" t="s">
        <v>136</v>
      </c>
      <c r="C19">
        <v>139</v>
      </c>
      <c r="D19">
        <v>0.49</v>
      </c>
      <c r="E19">
        <v>0.48</v>
      </c>
      <c r="F19">
        <v>0.51</v>
      </c>
      <c r="G19">
        <v>-0.19</v>
      </c>
      <c r="H19" s="2" t="s">
        <v>441</v>
      </c>
      <c r="I19" s="2" t="s">
        <v>442</v>
      </c>
      <c r="J19">
        <v>11968</v>
      </c>
      <c r="K19">
        <v>0.27489999999999998</v>
      </c>
    </row>
    <row r="20" spans="1:11" x14ac:dyDescent="0.3">
      <c r="A20" s="2" t="s">
        <v>443</v>
      </c>
      <c r="B20" s="2" t="s">
        <v>444</v>
      </c>
      <c r="C20">
        <v>230</v>
      </c>
      <c r="D20">
        <v>0.01</v>
      </c>
      <c r="E20">
        <v>0</v>
      </c>
      <c r="F20">
        <v>0.01</v>
      </c>
      <c r="G20">
        <v>0</v>
      </c>
      <c r="H20" s="2" t="s">
        <v>27</v>
      </c>
      <c r="I20" s="2" t="s">
        <v>303</v>
      </c>
      <c r="J20">
        <v>10337</v>
      </c>
      <c r="K20">
        <v>1.4063000000000001</v>
      </c>
    </row>
    <row r="21" spans="1:11" x14ac:dyDescent="0.3">
      <c r="A21" s="2" t="s">
        <v>445</v>
      </c>
      <c r="B21" s="2" t="s">
        <v>140</v>
      </c>
      <c r="C21">
        <v>143</v>
      </c>
      <c r="D21">
        <v>0.16</v>
      </c>
      <c r="E21">
        <v>0.15</v>
      </c>
      <c r="F21">
        <v>0.17</v>
      </c>
      <c r="G21">
        <v>-0.05</v>
      </c>
      <c r="H21" s="2" t="s">
        <v>446</v>
      </c>
      <c r="I21" s="2" t="s">
        <v>447</v>
      </c>
      <c r="J21">
        <v>9659</v>
      </c>
      <c r="K21">
        <v>0.32229999999999998</v>
      </c>
    </row>
    <row r="22" spans="1:11" x14ac:dyDescent="0.3">
      <c r="A22" s="2" t="s">
        <v>448</v>
      </c>
      <c r="B22" s="2" t="s">
        <v>449</v>
      </c>
      <c r="C22">
        <v>200</v>
      </c>
      <c r="D22">
        <v>0.01</v>
      </c>
      <c r="E22">
        <v>0</v>
      </c>
      <c r="F22">
        <v>0.01</v>
      </c>
      <c r="G22">
        <v>0</v>
      </c>
      <c r="H22" s="2" t="s">
        <v>27</v>
      </c>
      <c r="I22" s="2" t="s">
        <v>209</v>
      </c>
      <c r="J22">
        <v>7722</v>
      </c>
      <c r="K22">
        <v>1.0625</v>
      </c>
    </row>
    <row r="23" spans="1:11" x14ac:dyDescent="0.3">
      <c r="A23" s="2" t="s">
        <v>450</v>
      </c>
      <c r="B23" s="2" t="s">
        <v>140</v>
      </c>
      <c r="C23">
        <v>132</v>
      </c>
      <c r="D23">
        <v>4</v>
      </c>
      <c r="E23">
        <v>3.85</v>
      </c>
      <c r="F23">
        <v>4.05</v>
      </c>
      <c r="G23">
        <v>-0.1</v>
      </c>
      <c r="H23" s="2" t="s">
        <v>451</v>
      </c>
      <c r="I23" s="2" t="s">
        <v>452</v>
      </c>
      <c r="J23">
        <v>7405</v>
      </c>
      <c r="K23">
        <v>0.30620000000000003</v>
      </c>
    </row>
    <row r="24" spans="1:11" x14ac:dyDescent="0.3">
      <c r="A24" s="2" t="s">
        <v>453</v>
      </c>
      <c r="B24" s="2" t="s">
        <v>136</v>
      </c>
      <c r="C24">
        <v>141</v>
      </c>
      <c r="D24">
        <v>0.27</v>
      </c>
      <c r="E24">
        <v>0.25</v>
      </c>
      <c r="F24">
        <v>0.27</v>
      </c>
      <c r="G24">
        <v>-0.1</v>
      </c>
      <c r="H24" s="2" t="s">
        <v>454</v>
      </c>
      <c r="I24" s="2" t="s">
        <v>455</v>
      </c>
      <c r="J24">
        <v>7063</v>
      </c>
      <c r="K24">
        <v>0.29199999999999998</v>
      </c>
    </row>
    <row r="25" spans="1:11" x14ac:dyDescent="0.3">
      <c r="A25" s="2" t="s">
        <v>456</v>
      </c>
      <c r="B25" s="2" t="s">
        <v>136</v>
      </c>
      <c r="C25">
        <v>144</v>
      </c>
      <c r="D25">
        <v>0.13</v>
      </c>
      <c r="E25">
        <v>0.12</v>
      </c>
      <c r="F25">
        <v>0.13</v>
      </c>
      <c r="G25">
        <v>-0.04</v>
      </c>
      <c r="H25" s="2" t="s">
        <v>457</v>
      </c>
      <c r="I25" s="2" t="s">
        <v>458</v>
      </c>
      <c r="J25">
        <v>6784</v>
      </c>
      <c r="K25">
        <v>0.33200000000000002</v>
      </c>
    </row>
    <row r="26" spans="1:11" x14ac:dyDescent="0.3">
      <c r="A26" s="2" t="s">
        <v>459</v>
      </c>
      <c r="B26" s="2" t="s">
        <v>460</v>
      </c>
      <c r="C26">
        <v>175</v>
      </c>
      <c r="D26">
        <v>0.01</v>
      </c>
      <c r="E26">
        <v>0</v>
      </c>
      <c r="F26">
        <v>0.01</v>
      </c>
      <c r="G26">
        <v>0</v>
      </c>
      <c r="H26" s="2" t="s">
        <v>27</v>
      </c>
      <c r="I26" s="2" t="s">
        <v>461</v>
      </c>
      <c r="J26">
        <v>5436</v>
      </c>
      <c r="K26">
        <v>0.71879999999999999</v>
      </c>
    </row>
    <row r="27" spans="1:11" x14ac:dyDescent="0.3">
      <c r="A27" s="2" t="s">
        <v>462</v>
      </c>
      <c r="B27" s="2" t="s">
        <v>136</v>
      </c>
      <c r="C27">
        <v>146</v>
      </c>
      <c r="D27">
        <v>0.09</v>
      </c>
      <c r="E27">
        <v>0.08</v>
      </c>
      <c r="F27">
        <v>0.09</v>
      </c>
      <c r="G27">
        <v>-0.03</v>
      </c>
      <c r="H27" s="2" t="s">
        <v>298</v>
      </c>
      <c r="I27" s="2" t="s">
        <v>463</v>
      </c>
      <c r="J27">
        <v>5321</v>
      </c>
      <c r="K27">
        <v>0.36330000000000001</v>
      </c>
    </row>
    <row r="28" spans="1:11" x14ac:dyDescent="0.3">
      <c r="A28" s="2" t="s">
        <v>464</v>
      </c>
      <c r="B28" s="2" t="s">
        <v>187</v>
      </c>
      <c r="C28">
        <v>152.5</v>
      </c>
      <c r="D28">
        <v>0.05</v>
      </c>
      <c r="E28">
        <v>0.04</v>
      </c>
      <c r="F28">
        <v>0.05</v>
      </c>
      <c r="G28">
        <v>0</v>
      </c>
      <c r="H28" s="2" t="s">
        <v>27</v>
      </c>
      <c r="I28" s="2" t="s">
        <v>465</v>
      </c>
      <c r="J28">
        <v>4897</v>
      </c>
      <c r="K28">
        <v>0.48049999999999998</v>
      </c>
    </row>
    <row r="29" spans="1:11" x14ac:dyDescent="0.3">
      <c r="A29" s="2" t="s">
        <v>466</v>
      </c>
      <c r="B29" s="2" t="s">
        <v>140</v>
      </c>
      <c r="C29">
        <v>148</v>
      </c>
      <c r="D29">
        <v>0.08</v>
      </c>
      <c r="E29">
        <v>7.0000000000000007E-2</v>
      </c>
      <c r="F29">
        <v>0.08</v>
      </c>
      <c r="G29">
        <v>-0.01</v>
      </c>
      <c r="H29" s="2" t="s">
        <v>467</v>
      </c>
      <c r="I29" s="2" t="s">
        <v>468</v>
      </c>
      <c r="J29">
        <v>4862</v>
      </c>
      <c r="K29">
        <v>0.40629999999999999</v>
      </c>
    </row>
    <row r="30" spans="1:11" x14ac:dyDescent="0.3">
      <c r="A30" s="2" t="s">
        <v>469</v>
      </c>
      <c r="B30" s="2" t="s">
        <v>230</v>
      </c>
      <c r="C30">
        <v>149</v>
      </c>
      <c r="D30">
        <v>7.0000000000000007E-2</v>
      </c>
      <c r="E30">
        <v>0.06</v>
      </c>
      <c r="F30">
        <v>7.0000000000000007E-2</v>
      </c>
      <c r="G30">
        <v>0</v>
      </c>
      <c r="H30" s="2" t="s">
        <v>27</v>
      </c>
      <c r="I30" s="2" t="s">
        <v>470</v>
      </c>
      <c r="J30">
        <v>4337</v>
      </c>
      <c r="K30">
        <v>0.4219</v>
      </c>
    </row>
    <row r="31" spans="1:11" x14ac:dyDescent="0.3">
      <c r="A31" s="2" t="s">
        <v>471</v>
      </c>
      <c r="B31" s="2" t="s">
        <v>140</v>
      </c>
      <c r="C31">
        <v>147</v>
      </c>
      <c r="D31">
        <v>0.08</v>
      </c>
      <c r="E31">
        <v>7.0000000000000007E-2</v>
      </c>
      <c r="F31">
        <v>0.08</v>
      </c>
      <c r="G31">
        <v>-0.02</v>
      </c>
      <c r="H31" s="2" t="s">
        <v>221</v>
      </c>
      <c r="I31" s="2" t="s">
        <v>472</v>
      </c>
      <c r="J31">
        <v>4124</v>
      </c>
      <c r="K31">
        <v>0.38090000000000002</v>
      </c>
    </row>
    <row r="32" spans="1:11" x14ac:dyDescent="0.3">
      <c r="A32" s="2" t="s">
        <v>473</v>
      </c>
      <c r="B32" s="2" t="s">
        <v>140</v>
      </c>
      <c r="C32">
        <v>133</v>
      </c>
      <c r="D32">
        <v>3.24</v>
      </c>
      <c r="E32">
        <v>3.05</v>
      </c>
      <c r="F32">
        <v>3.25</v>
      </c>
      <c r="G32">
        <v>-7.0000000000000007E-2</v>
      </c>
      <c r="H32" s="2" t="s">
        <v>474</v>
      </c>
      <c r="I32" s="2" t="s">
        <v>475</v>
      </c>
      <c r="J32">
        <v>4082</v>
      </c>
      <c r="K32">
        <v>0.29149999999999998</v>
      </c>
    </row>
    <row r="33" spans="1:11" x14ac:dyDescent="0.3">
      <c r="A33" s="2" t="s">
        <v>476</v>
      </c>
      <c r="B33" s="2" t="s">
        <v>477</v>
      </c>
      <c r="C33">
        <v>190</v>
      </c>
      <c r="D33">
        <v>0.01</v>
      </c>
      <c r="E33">
        <v>0</v>
      </c>
      <c r="F33">
        <v>0.01</v>
      </c>
      <c r="G33">
        <v>-0.02</v>
      </c>
      <c r="H33" s="2" t="s">
        <v>478</v>
      </c>
      <c r="I33" s="2" t="s">
        <v>29</v>
      </c>
      <c r="J33">
        <v>4012</v>
      </c>
      <c r="K33">
        <v>0.9375</v>
      </c>
    </row>
    <row r="34" spans="1:11" x14ac:dyDescent="0.3">
      <c r="A34" s="2" t="s">
        <v>479</v>
      </c>
      <c r="B34" s="2" t="s">
        <v>136</v>
      </c>
      <c r="C34">
        <v>115</v>
      </c>
      <c r="D34">
        <v>20.55</v>
      </c>
      <c r="E34">
        <v>20.350000000000001</v>
      </c>
      <c r="F34">
        <v>20.55</v>
      </c>
      <c r="G34">
        <v>0.5</v>
      </c>
      <c r="H34" s="2" t="s">
        <v>480</v>
      </c>
      <c r="I34" s="2" t="s">
        <v>228</v>
      </c>
      <c r="J34">
        <v>3003</v>
      </c>
      <c r="K34">
        <v>0.6875</v>
      </c>
    </row>
    <row r="35" spans="1:11" x14ac:dyDescent="0.3">
      <c r="A35" s="2" t="s">
        <v>481</v>
      </c>
      <c r="B35" s="2" t="s">
        <v>136</v>
      </c>
      <c r="C35">
        <v>131</v>
      </c>
      <c r="D35">
        <v>4.8499999999999996</v>
      </c>
      <c r="E35">
        <v>4.7</v>
      </c>
      <c r="F35">
        <v>4.9000000000000004</v>
      </c>
      <c r="G35">
        <v>0.09</v>
      </c>
      <c r="H35" s="2" t="s">
        <v>482</v>
      </c>
      <c r="I35" s="2" t="s">
        <v>483</v>
      </c>
      <c r="J35">
        <v>2992</v>
      </c>
      <c r="K35">
        <v>0.32179999999999997</v>
      </c>
    </row>
    <row r="36" spans="1:11" x14ac:dyDescent="0.3">
      <c r="A36" s="2" t="s">
        <v>484</v>
      </c>
      <c r="B36" s="2" t="s">
        <v>485</v>
      </c>
      <c r="C36">
        <v>110</v>
      </c>
      <c r="D36">
        <v>25.4</v>
      </c>
      <c r="E36">
        <v>25.3</v>
      </c>
      <c r="F36">
        <v>25.5</v>
      </c>
      <c r="G36">
        <v>0.1</v>
      </c>
      <c r="H36" s="2" t="s">
        <v>486</v>
      </c>
      <c r="I36" s="2" t="s">
        <v>487</v>
      </c>
      <c r="J36">
        <v>2991</v>
      </c>
      <c r="K36">
        <v>0.74219999999999997</v>
      </c>
    </row>
    <row r="37" spans="1:11" x14ac:dyDescent="0.3">
      <c r="A37" s="2" t="s">
        <v>488</v>
      </c>
      <c r="B37" s="2" t="s">
        <v>223</v>
      </c>
      <c r="C37">
        <v>129</v>
      </c>
      <c r="D37">
        <v>6.6</v>
      </c>
      <c r="E37">
        <v>6.55</v>
      </c>
      <c r="F37">
        <v>6.75</v>
      </c>
      <c r="G37">
        <v>0.2</v>
      </c>
      <c r="H37" s="2" t="s">
        <v>489</v>
      </c>
      <c r="I37" s="2" t="s">
        <v>490</v>
      </c>
      <c r="J37">
        <v>2755</v>
      </c>
      <c r="K37">
        <v>0.36909999999999998</v>
      </c>
    </row>
    <row r="38" spans="1:11" x14ac:dyDescent="0.3">
      <c r="A38" s="2" t="s">
        <v>491</v>
      </c>
      <c r="B38" s="2" t="s">
        <v>272</v>
      </c>
      <c r="C38">
        <v>100</v>
      </c>
      <c r="D38">
        <v>35.5</v>
      </c>
      <c r="E38">
        <v>35.299999999999997</v>
      </c>
      <c r="F38">
        <v>35.5</v>
      </c>
      <c r="G38">
        <v>0.6</v>
      </c>
      <c r="H38" s="2" t="s">
        <v>492</v>
      </c>
      <c r="I38" s="2" t="s">
        <v>179</v>
      </c>
      <c r="J38">
        <v>2752</v>
      </c>
      <c r="K38">
        <v>1.0390999999999999</v>
      </c>
    </row>
    <row r="39" spans="1:11" x14ac:dyDescent="0.3">
      <c r="A39" s="2" t="s">
        <v>493</v>
      </c>
      <c r="B39" s="2" t="s">
        <v>494</v>
      </c>
      <c r="C39">
        <v>185</v>
      </c>
      <c r="D39">
        <v>0.01</v>
      </c>
      <c r="E39">
        <v>0</v>
      </c>
      <c r="F39">
        <v>0.01</v>
      </c>
      <c r="G39">
        <v>0</v>
      </c>
      <c r="H39" s="2" t="s">
        <v>27</v>
      </c>
      <c r="I39" s="2" t="s">
        <v>29</v>
      </c>
      <c r="J39">
        <v>2662</v>
      </c>
      <c r="K39">
        <v>0.875</v>
      </c>
    </row>
    <row r="40" spans="1:11" x14ac:dyDescent="0.3">
      <c r="A40" s="2" t="s">
        <v>495</v>
      </c>
      <c r="B40" s="2" t="s">
        <v>496</v>
      </c>
      <c r="C40">
        <v>195</v>
      </c>
      <c r="D40">
        <v>0.01</v>
      </c>
      <c r="E40">
        <v>0</v>
      </c>
      <c r="F40">
        <v>0.01</v>
      </c>
      <c r="G40">
        <v>0</v>
      </c>
      <c r="H40" s="2" t="s">
        <v>27</v>
      </c>
      <c r="I40" s="2" t="s">
        <v>39</v>
      </c>
      <c r="J40">
        <v>2619</v>
      </c>
      <c r="K40">
        <v>1</v>
      </c>
    </row>
    <row r="41" spans="1:11" x14ac:dyDescent="0.3">
      <c r="A41" s="2" t="s">
        <v>497</v>
      </c>
      <c r="B41" s="2" t="s">
        <v>187</v>
      </c>
      <c r="C41">
        <v>127</v>
      </c>
      <c r="D41">
        <v>8.6199999999999992</v>
      </c>
      <c r="E41">
        <v>8.4499999999999993</v>
      </c>
      <c r="F41">
        <v>8.65</v>
      </c>
      <c r="G41">
        <v>0.17</v>
      </c>
      <c r="H41" s="2" t="s">
        <v>498</v>
      </c>
      <c r="I41" s="2" t="s">
        <v>499</v>
      </c>
      <c r="J41">
        <v>1997</v>
      </c>
      <c r="K41">
        <v>0.41410000000000002</v>
      </c>
    </row>
    <row r="42" spans="1:11" x14ac:dyDescent="0.3">
      <c r="A42" s="2" t="s">
        <v>500</v>
      </c>
      <c r="B42" s="2" t="s">
        <v>140</v>
      </c>
      <c r="C42">
        <v>128</v>
      </c>
      <c r="D42">
        <v>7.67</v>
      </c>
      <c r="E42">
        <v>7.5</v>
      </c>
      <c r="F42">
        <v>7.7</v>
      </c>
      <c r="G42">
        <v>0.4</v>
      </c>
      <c r="H42" s="2" t="s">
        <v>501</v>
      </c>
      <c r="I42" s="2" t="s">
        <v>502</v>
      </c>
      <c r="J42">
        <v>1965</v>
      </c>
      <c r="K42">
        <v>0.39360000000000001</v>
      </c>
    </row>
    <row r="43" spans="1:11" x14ac:dyDescent="0.3">
      <c r="A43" s="2" t="s">
        <v>503</v>
      </c>
      <c r="B43" s="2" t="s">
        <v>504</v>
      </c>
      <c r="C43">
        <v>210</v>
      </c>
      <c r="D43">
        <v>0.01</v>
      </c>
      <c r="E43">
        <v>0</v>
      </c>
      <c r="F43">
        <v>0.01</v>
      </c>
      <c r="G43">
        <v>0</v>
      </c>
      <c r="H43" s="2" t="s">
        <v>27</v>
      </c>
      <c r="I43" s="2" t="s">
        <v>505</v>
      </c>
      <c r="J43">
        <v>1520</v>
      </c>
      <c r="K43">
        <v>1.1875</v>
      </c>
    </row>
    <row r="44" spans="1:11" x14ac:dyDescent="0.3">
      <c r="A44" s="2" t="s">
        <v>506</v>
      </c>
      <c r="B44" s="2" t="s">
        <v>507</v>
      </c>
      <c r="C44">
        <v>157.5</v>
      </c>
      <c r="D44">
        <v>0.03</v>
      </c>
      <c r="E44">
        <v>0.02</v>
      </c>
      <c r="F44">
        <v>0.03</v>
      </c>
      <c r="G44">
        <v>0</v>
      </c>
      <c r="H44" s="2" t="s">
        <v>27</v>
      </c>
      <c r="I44" s="2" t="s">
        <v>209</v>
      </c>
      <c r="J44">
        <v>1477</v>
      </c>
      <c r="K44">
        <v>0.53910000000000002</v>
      </c>
    </row>
    <row r="45" spans="1:11" x14ac:dyDescent="0.3">
      <c r="A45" s="2" t="s">
        <v>508</v>
      </c>
      <c r="B45" s="2" t="s">
        <v>509</v>
      </c>
      <c r="C45">
        <v>215</v>
      </c>
      <c r="D45">
        <v>0.01</v>
      </c>
      <c r="E45">
        <v>0</v>
      </c>
      <c r="F45">
        <v>0.01</v>
      </c>
      <c r="G45">
        <v>0</v>
      </c>
      <c r="H45" s="2" t="s">
        <v>27</v>
      </c>
      <c r="I45" s="2" t="s">
        <v>29</v>
      </c>
      <c r="J45">
        <v>1330</v>
      </c>
      <c r="K45">
        <v>1.25</v>
      </c>
    </row>
    <row r="46" spans="1:11" x14ac:dyDescent="0.3">
      <c r="A46" s="2" t="s">
        <v>510</v>
      </c>
      <c r="B46" s="2" t="s">
        <v>511</v>
      </c>
      <c r="C46">
        <v>205</v>
      </c>
      <c r="D46">
        <v>0.01</v>
      </c>
      <c r="E46">
        <v>0</v>
      </c>
      <c r="F46">
        <v>0.01</v>
      </c>
      <c r="G46">
        <v>0</v>
      </c>
      <c r="H46" s="2" t="s">
        <v>27</v>
      </c>
      <c r="I46" s="2" t="s">
        <v>351</v>
      </c>
      <c r="J46">
        <v>1110</v>
      </c>
      <c r="K46">
        <v>1.125</v>
      </c>
    </row>
    <row r="47" spans="1:11" x14ac:dyDescent="0.3">
      <c r="A47" s="2" t="s">
        <v>512</v>
      </c>
      <c r="B47" s="2" t="s">
        <v>513</v>
      </c>
      <c r="C47">
        <v>225</v>
      </c>
      <c r="D47">
        <v>0.01</v>
      </c>
      <c r="E47">
        <v>0</v>
      </c>
      <c r="F47">
        <v>0.01</v>
      </c>
      <c r="G47">
        <v>0</v>
      </c>
      <c r="H47" s="2" t="s">
        <v>27</v>
      </c>
      <c r="I47" s="2" t="s">
        <v>514</v>
      </c>
      <c r="J47">
        <v>1056</v>
      </c>
      <c r="K47">
        <v>1.3438000000000001</v>
      </c>
    </row>
    <row r="48" spans="1:11" x14ac:dyDescent="0.3">
      <c r="A48" s="2" t="s">
        <v>515</v>
      </c>
      <c r="B48" s="2" t="s">
        <v>444</v>
      </c>
      <c r="C48">
        <v>90</v>
      </c>
      <c r="D48">
        <v>44.64</v>
      </c>
      <c r="E48">
        <v>45.3</v>
      </c>
      <c r="F48">
        <v>45.5</v>
      </c>
      <c r="G48">
        <v>-1.46</v>
      </c>
      <c r="H48" s="2" t="s">
        <v>516</v>
      </c>
      <c r="I48" s="2" t="s">
        <v>39</v>
      </c>
      <c r="J48">
        <v>956</v>
      </c>
      <c r="K48">
        <v>1.3672</v>
      </c>
    </row>
    <row r="49" spans="1:11" x14ac:dyDescent="0.3">
      <c r="A49" s="2" t="s">
        <v>517</v>
      </c>
      <c r="B49" s="2" t="s">
        <v>211</v>
      </c>
      <c r="C49">
        <v>126</v>
      </c>
      <c r="D49">
        <v>9.5500000000000007</v>
      </c>
      <c r="E49">
        <v>9.4499999999999993</v>
      </c>
      <c r="F49">
        <v>9.65</v>
      </c>
      <c r="G49">
        <v>0.2</v>
      </c>
      <c r="H49" s="2" t="s">
        <v>518</v>
      </c>
      <c r="I49" s="2" t="s">
        <v>519</v>
      </c>
      <c r="J49">
        <v>890</v>
      </c>
      <c r="K49">
        <v>0.45219999999999999</v>
      </c>
    </row>
    <row r="50" spans="1:11" x14ac:dyDescent="0.3">
      <c r="A50" s="2" t="s">
        <v>520</v>
      </c>
      <c r="B50" s="2" t="s">
        <v>521</v>
      </c>
      <c r="C50">
        <v>220</v>
      </c>
      <c r="D50">
        <v>0.01</v>
      </c>
      <c r="E50">
        <v>0</v>
      </c>
      <c r="F50">
        <v>0.01</v>
      </c>
      <c r="G50">
        <v>0</v>
      </c>
      <c r="H50" s="2" t="s">
        <v>27</v>
      </c>
      <c r="I50" s="2" t="s">
        <v>522</v>
      </c>
      <c r="J50">
        <v>544</v>
      </c>
      <c r="K50">
        <v>1.3125</v>
      </c>
    </row>
    <row r="51" spans="1:11" x14ac:dyDescent="0.3">
      <c r="A51" s="2" t="s">
        <v>523</v>
      </c>
      <c r="B51" s="2" t="s">
        <v>226</v>
      </c>
      <c r="C51">
        <v>121</v>
      </c>
      <c r="D51">
        <v>14.15</v>
      </c>
      <c r="E51">
        <v>14.4</v>
      </c>
      <c r="F51">
        <v>14.6</v>
      </c>
      <c r="G51">
        <v>-0.1</v>
      </c>
      <c r="H51" s="2" t="s">
        <v>524</v>
      </c>
      <c r="I51" s="2" t="s">
        <v>525</v>
      </c>
      <c r="J51">
        <v>409</v>
      </c>
      <c r="K51">
        <v>0.54490000000000005</v>
      </c>
    </row>
    <row r="52" spans="1:11" x14ac:dyDescent="0.3">
      <c r="A52" s="2" t="s">
        <v>526</v>
      </c>
      <c r="B52" s="2" t="s">
        <v>507</v>
      </c>
      <c r="C52">
        <v>105</v>
      </c>
      <c r="D52">
        <v>30</v>
      </c>
      <c r="E52">
        <v>30.3</v>
      </c>
      <c r="F52">
        <v>30.5</v>
      </c>
      <c r="G52">
        <v>-0.25</v>
      </c>
      <c r="H52" s="2" t="s">
        <v>527</v>
      </c>
      <c r="I52" s="2" t="s">
        <v>528</v>
      </c>
      <c r="J52">
        <v>406</v>
      </c>
      <c r="K52">
        <v>0.89059999999999995</v>
      </c>
    </row>
    <row r="53" spans="1:11" x14ac:dyDescent="0.3">
      <c r="A53" s="2" t="s">
        <v>529</v>
      </c>
      <c r="B53" s="2" t="s">
        <v>530</v>
      </c>
      <c r="C53">
        <v>118</v>
      </c>
      <c r="D53">
        <v>16.75</v>
      </c>
      <c r="E53">
        <v>17.350000000000001</v>
      </c>
      <c r="F53">
        <v>17.55</v>
      </c>
      <c r="G53">
        <v>-1.29</v>
      </c>
      <c r="H53" s="2" t="s">
        <v>531</v>
      </c>
      <c r="I53" s="2" t="s">
        <v>283</v>
      </c>
      <c r="J53">
        <v>393</v>
      </c>
      <c r="K53">
        <v>0.59379999999999999</v>
      </c>
    </row>
    <row r="54" spans="1:11" x14ac:dyDescent="0.3">
      <c r="A54" s="2" t="s">
        <v>532</v>
      </c>
      <c r="B54" s="2" t="s">
        <v>533</v>
      </c>
      <c r="C54">
        <v>30</v>
      </c>
      <c r="D54">
        <v>106.6</v>
      </c>
      <c r="E54">
        <v>105.1</v>
      </c>
      <c r="F54">
        <v>105.75</v>
      </c>
      <c r="G54">
        <v>0</v>
      </c>
      <c r="H54" s="2" t="s">
        <v>27</v>
      </c>
      <c r="I54" s="2" t="s">
        <v>351</v>
      </c>
      <c r="J54">
        <v>347</v>
      </c>
      <c r="K54">
        <v>4.9843999999999999</v>
      </c>
    </row>
    <row r="55" spans="1:11" x14ac:dyDescent="0.3">
      <c r="A55" s="2" t="s">
        <v>534</v>
      </c>
      <c r="B55" s="2" t="s">
        <v>535</v>
      </c>
      <c r="C55">
        <v>95</v>
      </c>
      <c r="D55">
        <v>39.44</v>
      </c>
      <c r="E55">
        <v>40.299999999999997</v>
      </c>
      <c r="F55">
        <v>40.5</v>
      </c>
      <c r="G55">
        <v>-1.47</v>
      </c>
      <c r="H55" s="2" t="s">
        <v>536</v>
      </c>
      <c r="I55" s="2" t="s">
        <v>39</v>
      </c>
      <c r="J55">
        <v>315</v>
      </c>
      <c r="K55">
        <v>1.2031000000000001</v>
      </c>
    </row>
    <row r="56" spans="1:11" x14ac:dyDescent="0.3">
      <c r="A56" s="2" t="s">
        <v>537</v>
      </c>
      <c r="B56" s="2" t="s">
        <v>538</v>
      </c>
      <c r="C56">
        <v>60</v>
      </c>
      <c r="D56">
        <v>74.75</v>
      </c>
      <c r="E56">
        <v>75.05</v>
      </c>
      <c r="F56">
        <v>75.75</v>
      </c>
      <c r="G56">
        <v>0</v>
      </c>
      <c r="H56" s="2" t="s">
        <v>27</v>
      </c>
      <c r="I56" s="2" t="s">
        <v>29</v>
      </c>
      <c r="J56">
        <v>314</v>
      </c>
      <c r="K56">
        <v>2.5937999999999999</v>
      </c>
    </row>
    <row r="57" spans="1:11" x14ac:dyDescent="0.3">
      <c r="A57" s="2" t="s">
        <v>539</v>
      </c>
      <c r="B57" s="2" t="s">
        <v>540</v>
      </c>
      <c r="C57">
        <v>119</v>
      </c>
      <c r="D57">
        <v>15.6</v>
      </c>
      <c r="E57">
        <v>16.399999999999999</v>
      </c>
      <c r="F57">
        <v>16.600000000000001</v>
      </c>
      <c r="G57">
        <v>0.2</v>
      </c>
      <c r="H57" s="2" t="s">
        <v>541</v>
      </c>
      <c r="I57" s="2" t="s">
        <v>38</v>
      </c>
      <c r="J57">
        <v>301</v>
      </c>
      <c r="K57">
        <v>0.61129999999999995</v>
      </c>
    </row>
    <row r="58" spans="1:11" x14ac:dyDescent="0.3">
      <c r="A58" s="2" t="s">
        <v>542</v>
      </c>
      <c r="B58" s="2" t="s">
        <v>211</v>
      </c>
      <c r="C58">
        <v>117</v>
      </c>
      <c r="D58">
        <v>18.350000000000001</v>
      </c>
      <c r="E58">
        <v>18.350000000000001</v>
      </c>
      <c r="F58">
        <v>18.55</v>
      </c>
      <c r="G58">
        <v>0.15</v>
      </c>
      <c r="H58" s="2" t="s">
        <v>543</v>
      </c>
      <c r="I58" s="2" t="s">
        <v>224</v>
      </c>
      <c r="J58">
        <v>276</v>
      </c>
      <c r="K58">
        <v>0.625</v>
      </c>
    </row>
    <row r="59" spans="1:11" x14ac:dyDescent="0.3">
      <c r="A59" s="2" t="s">
        <v>544</v>
      </c>
      <c r="B59" s="2" t="s">
        <v>211</v>
      </c>
      <c r="C59">
        <v>122</v>
      </c>
      <c r="D59">
        <v>13.4</v>
      </c>
      <c r="E59">
        <v>13.4</v>
      </c>
      <c r="F59">
        <v>13.6</v>
      </c>
      <c r="G59">
        <v>0.85</v>
      </c>
      <c r="H59" s="2" t="s">
        <v>545</v>
      </c>
      <c r="I59" s="2" t="s">
        <v>546</v>
      </c>
      <c r="J59">
        <v>239</v>
      </c>
      <c r="K59">
        <v>0.51270000000000004</v>
      </c>
    </row>
    <row r="60" spans="1:11" x14ac:dyDescent="0.3">
      <c r="A60" s="2" t="s">
        <v>547</v>
      </c>
      <c r="B60" s="2" t="s">
        <v>548</v>
      </c>
      <c r="C60">
        <v>123</v>
      </c>
      <c r="D60">
        <v>11.37</v>
      </c>
      <c r="E60">
        <v>12.4</v>
      </c>
      <c r="F60">
        <v>12.6</v>
      </c>
      <c r="G60">
        <v>0.17</v>
      </c>
      <c r="H60" s="2" t="s">
        <v>549</v>
      </c>
      <c r="I60" s="2" t="s">
        <v>550</v>
      </c>
      <c r="J60">
        <v>220</v>
      </c>
      <c r="K60">
        <v>0.54</v>
      </c>
    </row>
    <row r="61" spans="1:11" x14ac:dyDescent="0.3">
      <c r="A61" s="2" t="s">
        <v>551</v>
      </c>
      <c r="B61" s="2" t="s">
        <v>249</v>
      </c>
      <c r="C61">
        <v>124</v>
      </c>
      <c r="D61">
        <v>11.15</v>
      </c>
      <c r="E61">
        <v>11.4</v>
      </c>
      <c r="F61">
        <v>11.6</v>
      </c>
      <c r="G61">
        <v>0.3</v>
      </c>
      <c r="H61" s="2" t="s">
        <v>552</v>
      </c>
      <c r="I61" s="2" t="s">
        <v>335</v>
      </c>
      <c r="J61">
        <v>218</v>
      </c>
      <c r="K61">
        <v>0.50390000000000001</v>
      </c>
    </row>
    <row r="62" spans="1:11" x14ac:dyDescent="0.3">
      <c r="A62" s="2" t="s">
        <v>553</v>
      </c>
      <c r="B62" s="2" t="s">
        <v>37</v>
      </c>
      <c r="C62">
        <v>80</v>
      </c>
      <c r="D62">
        <v>55.47</v>
      </c>
      <c r="E62">
        <v>55.3</v>
      </c>
      <c r="F62">
        <v>55.5</v>
      </c>
      <c r="G62">
        <v>0.22</v>
      </c>
      <c r="H62" s="2" t="s">
        <v>486</v>
      </c>
      <c r="I62" s="2" t="s">
        <v>283</v>
      </c>
      <c r="J62">
        <v>175</v>
      </c>
      <c r="K62">
        <v>1.7188000000000001</v>
      </c>
    </row>
    <row r="63" spans="1:11" x14ac:dyDescent="0.3">
      <c r="A63" s="2" t="s">
        <v>554</v>
      </c>
      <c r="B63" s="2" t="s">
        <v>293</v>
      </c>
      <c r="C63">
        <v>85</v>
      </c>
      <c r="D63">
        <v>49.62</v>
      </c>
      <c r="E63">
        <v>50.3</v>
      </c>
      <c r="F63">
        <v>50.5</v>
      </c>
      <c r="G63">
        <v>0.12</v>
      </c>
      <c r="H63" s="2" t="s">
        <v>555</v>
      </c>
      <c r="I63" s="2" t="s">
        <v>28</v>
      </c>
      <c r="J63">
        <v>80</v>
      </c>
      <c r="K63">
        <v>1.5390999999999999</v>
      </c>
    </row>
    <row r="64" spans="1:11" x14ac:dyDescent="0.3">
      <c r="A64" s="2" t="s">
        <v>556</v>
      </c>
      <c r="B64" s="2" t="s">
        <v>557</v>
      </c>
      <c r="C64">
        <v>55</v>
      </c>
      <c r="D64">
        <v>82.85</v>
      </c>
      <c r="E64">
        <v>80.05</v>
      </c>
      <c r="F64">
        <v>80.75</v>
      </c>
      <c r="G64">
        <v>0</v>
      </c>
      <c r="H64" s="2" t="s">
        <v>27</v>
      </c>
      <c r="I64" s="2" t="s">
        <v>179</v>
      </c>
      <c r="J64">
        <v>50</v>
      </c>
      <c r="K64">
        <v>2.8437999999999999</v>
      </c>
    </row>
    <row r="65" spans="1:11" x14ac:dyDescent="0.3">
      <c r="A65" s="2" t="s">
        <v>558</v>
      </c>
      <c r="B65" s="2" t="s">
        <v>559</v>
      </c>
      <c r="C65">
        <v>116</v>
      </c>
      <c r="D65">
        <v>18.100000000000001</v>
      </c>
      <c r="E65">
        <v>19.350000000000001</v>
      </c>
      <c r="F65">
        <v>19.55</v>
      </c>
      <c r="G65">
        <v>-0.72</v>
      </c>
      <c r="H65" s="2" t="s">
        <v>560</v>
      </c>
      <c r="I65" s="2" t="s">
        <v>28</v>
      </c>
      <c r="J65">
        <v>48</v>
      </c>
      <c r="K65">
        <v>0.65629999999999999</v>
      </c>
    </row>
    <row r="66" spans="1:11" x14ac:dyDescent="0.3">
      <c r="A66" s="2" t="s">
        <v>561</v>
      </c>
      <c r="B66" s="2" t="s">
        <v>562</v>
      </c>
      <c r="C66">
        <v>114</v>
      </c>
      <c r="D66">
        <v>20.55</v>
      </c>
      <c r="E66">
        <v>21.35</v>
      </c>
      <c r="F66">
        <v>21.55</v>
      </c>
      <c r="G66">
        <v>-0.55000000000000004</v>
      </c>
      <c r="H66" s="2" t="s">
        <v>563</v>
      </c>
      <c r="I66" s="2" t="s">
        <v>29</v>
      </c>
      <c r="J66">
        <v>43</v>
      </c>
      <c r="K66">
        <v>0.71879999999999999</v>
      </c>
    </row>
    <row r="67" spans="1:11" x14ac:dyDescent="0.3">
      <c r="A67" s="2" t="s">
        <v>564</v>
      </c>
      <c r="B67" s="2" t="s">
        <v>317</v>
      </c>
      <c r="C67">
        <v>25</v>
      </c>
      <c r="D67">
        <v>109.81</v>
      </c>
      <c r="E67">
        <v>110.15</v>
      </c>
      <c r="F67">
        <v>110.75</v>
      </c>
      <c r="G67">
        <v>0.51</v>
      </c>
      <c r="H67" s="2" t="s">
        <v>565</v>
      </c>
      <c r="I67" s="2" t="s">
        <v>283</v>
      </c>
      <c r="J67">
        <v>22</v>
      </c>
      <c r="K67">
        <v>5.8125</v>
      </c>
    </row>
    <row r="68" spans="1:11" x14ac:dyDescent="0.3">
      <c r="A68" s="2" t="s">
        <v>566</v>
      </c>
      <c r="B68" s="2" t="s">
        <v>567</v>
      </c>
      <c r="C68">
        <v>113</v>
      </c>
      <c r="D68">
        <v>21.8</v>
      </c>
      <c r="E68">
        <v>22.35</v>
      </c>
      <c r="F68">
        <v>22.55</v>
      </c>
      <c r="G68">
        <v>0</v>
      </c>
      <c r="H68" s="2" t="s">
        <v>27</v>
      </c>
      <c r="I68" s="2" t="s">
        <v>28</v>
      </c>
      <c r="J68">
        <v>22</v>
      </c>
      <c r="K68">
        <v>0.752</v>
      </c>
    </row>
    <row r="69" spans="1:11" x14ac:dyDescent="0.3">
      <c r="A69" s="2" t="s">
        <v>568</v>
      </c>
      <c r="B69" s="2" t="s">
        <v>569</v>
      </c>
      <c r="C69">
        <v>70</v>
      </c>
      <c r="D69">
        <v>67</v>
      </c>
      <c r="E69">
        <v>65.05</v>
      </c>
      <c r="F69">
        <v>65.75</v>
      </c>
      <c r="G69">
        <v>0</v>
      </c>
      <c r="H69" s="2" t="s">
        <v>27</v>
      </c>
      <c r="I69" s="2" t="s">
        <v>570</v>
      </c>
      <c r="J69">
        <v>15</v>
      </c>
      <c r="K69">
        <v>2.125</v>
      </c>
    </row>
    <row r="70" spans="1:11" x14ac:dyDescent="0.3">
      <c r="A70" s="2" t="s">
        <v>571</v>
      </c>
      <c r="B70" s="2" t="s">
        <v>572</v>
      </c>
      <c r="C70">
        <v>75</v>
      </c>
      <c r="D70">
        <v>60.17</v>
      </c>
      <c r="E70">
        <v>60.05</v>
      </c>
      <c r="F70">
        <v>60.75</v>
      </c>
      <c r="G70">
        <v>0</v>
      </c>
      <c r="H70" s="2" t="s">
        <v>27</v>
      </c>
      <c r="I70" s="2" t="s">
        <v>351</v>
      </c>
      <c r="J70">
        <v>14</v>
      </c>
      <c r="K70">
        <v>1.9218999999999999</v>
      </c>
    </row>
    <row r="71" spans="1:11" x14ac:dyDescent="0.3">
      <c r="A71" s="2" t="s">
        <v>573</v>
      </c>
      <c r="B71" s="2" t="s">
        <v>155</v>
      </c>
      <c r="C71">
        <v>112</v>
      </c>
      <c r="D71">
        <v>23</v>
      </c>
      <c r="E71">
        <v>23.35</v>
      </c>
      <c r="F71">
        <v>23.55</v>
      </c>
      <c r="G71">
        <v>-0.04</v>
      </c>
      <c r="H71" s="2" t="s">
        <v>574</v>
      </c>
      <c r="I71" s="2" t="s">
        <v>351</v>
      </c>
      <c r="J71">
        <v>12</v>
      </c>
      <c r="K71">
        <v>0.78320000000000001</v>
      </c>
    </row>
    <row r="72" spans="1:11" x14ac:dyDescent="0.3">
      <c r="A72" s="2" t="s">
        <v>575</v>
      </c>
      <c r="B72" s="2" t="s">
        <v>576</v>
      </c>
      <c r="C72">
        <v>108</v>
      </c>
      <c r="D72">
        <v>26.3</v>
      </c>
      <c r="E72">
        <v>27.3</v>
      </c>
      <c r="F72">
        <v>27.5</v>
      </c>
      <c r="G72">
        <v>-1.92</v>
      </c>
      <c r="H72" s="2" t="s">
        <v>577</v>
      </c>
      <c r="I72" s="2" t="s">
        <v>29</v>
      </c>
      <c r="J72">
        <v>5</v>
      </c>
      <c r="K72">
        <v>0.80079999999999996</v>
      </c>
    </row>
    <row r="73" spans="1:11" x14ac:dyDescent="0.3">
      <c r="A73" s="2" t="s">
        <v>578</v>
      </c>
      <c r="B73" s="2" t="s">
        <v>579</v>
      </c>
      <c r="C73">
        <v>109</v>
      </c>
      <c r="D73">
        <v>25.15</v>
      </c>
      <c r="E73">
        <v>26.3</v>
      </c>
      <c r="F73">
        <v>26.5</v>
      </c>
      <c r="G73">
        <v>0.1</v>
      </c>
      <c r="H73" s="2" t="s">
        <v>486</v>
      </c>
      <c r="I73" s="2" t="s">
        <v>29</v>
      </c>
      <c r="J73">
        <v>5</v>
      </c>
      <c r="K73">
        <v>0.77339999999999998</v>
      </c>
    </row>
    <row r="74" spans="1:11" x14ac:dyDescent="0.3">
      <c r="A74" s="2" t="s">
        <v>580</v>
      </c>
      <c r="B74" s="2" t="s">
        <v>581</v>
      </c>
      <c r="C74">
        <v>111</v>
      </c>
      <c r="D74">
        <v>22.9</v>
      </c>
      <c r="E74">
        <v>24.3</v>
      </c>
      <c r="F74">
        <v>24.5</v>
      </c>
      <c r="G74">
        <v>-0.89</v>
      </c>
      <c r="H74" s="2" t="s">
        <v>582</v>
      </c>
      <c r="I74" s="2" t="s">
        <v>351</v>
      </c>
      <c r="J74">
        <v>4</v>
      </c>
      <c r="K74">
        <v>0.71089999999999998</v>
      </c>
    </row>
    <row r="75" spans="1:11" x14ac:dyDescent="0.3">
      <c r="A75" s="2" t="s">
        <v>583</v>
      </c>
      <c r="B75" s="2" t="s">
        <v>584</v>
      </c>
      <c r="C75">
        <v>40</v>
      </c>
      <c r="D75">
        <v>95.05</v>
      </c>
      <c r="E75">
        <v>95</v>
      </c>
      <c r="F75">
        <v>95.75</v>
      </c>
      <c r="G75">
        <v>0</v>
      </c>
      <c r="H75" s="2" t="s">
        <v>27</v>
      </c>
      <c r="I75" s="2" t="s">
        <v>28</v>
      </c>
      <c r="J75">
        <v>4</v>
      </c>
      <c r="K75">
        <v>3.25</v>
      </c>
    </row>
    <row r="76" spans="1:11" x14ac:dyDescent="0.3">
      <c r="A76" s="2" t="s">
        <v>585</v>
      </c>
      <c r="B76" s="2" t="s">
        <v>586</v>
      </c>
      <c r="C76">
        <v>35</v>
      </c>
      <c r="D76">
        <v>108</v>
      </c>
      <c r="E76">
        <v>100</v>
      </c>
      <c r="F76">
        <v>100.75</v>
      </c>
      <c r="G76">
        <v>0</v>
      </c>
      <c r="H76" s="2" t="s">
        <v>27</v>
      </c>
      <c r="I76" s="2" t="s">
        <v>29</v>
      </c>
      <c r="J76">
        <v>4</v>
      </c>
      <c r="K76">
        <v>3.625</v>
      </c>
    </row>
    <row r="77" spans="1:11" x14ac:dyDescent="0.3">
      <c r="A77" s="2" t="s">
        <v>587</v>
      </c>
      <c r="B77" s="2" t="s">
        <v>588</v>
      </c>
      <c r="C77">
        <v>107</v>
      </c>
      <c r="D77">
        <v>27.67</v>
      </c>
      <c r="E77">
        <v>28.3</v>
      </c>
      <c r="F77">
        <v>28.5</v>
      </c>
      <c r="G77">
        <v>0.47</v>
      </c>
      <c r="H77" s="2" t="s">
        <v>589</v>
      </c>
      <c r="I77" s="2" t="s">
        <v>39</v>
      </c>
      <c r="J77">
        <v>3</v>
      </c>
      <c r="K77">
        <v>0.82809999999999995</v>
      </c>
    </row>
    <row r="78" spans="1:11" x14ac:dyDescent="0.3">
      <c r="A78" s="2" t="s">
        <v>590</v>
      </c>
      <c r="B78" s="2" t="s">
        <v>591</v>
      </c>
      <c r="C78">
        <v>102</v>
      </c>
      <c r="D78">
        <v>32.380000000000003</v>
      </c>
      <c r="E78">
        <v>33.299999999999997</v>
      </c>
      <c r="F78">
        <v>33.5</v>
      </c>
      <c r="G78">
        <v>-0.52</v>
      </c>
      <c r="H78" s="2" t="s">
        <v>592</v>
      </c>
      <c r="I78" s="2" t="s">
        <v>29</v>
      </c>
      <c r="J78">
        <v>2</v>
      </c>
      <c r="K78">
        <v>0.97660000000000002</v>
      </c>
    </row>
    <row r="79" spans="1:11" x14ac:dyDescent="0.3">
      <c r="A79" s="2" t="s">
        <v>593</v>
      </c>
      <c r="B79" s="2" t="s">
        <v>594</v>
      </c>
      <c r="C79">
        <v>106</v>
      </c>
      <c r="D79">
        <v>30.76</v>
      </c>
      <c r="E79">
        <v>29.3</v>
      </c>
      <c r="F79">
        <v>29.5</v>
      </c>
      <c r="G79">
        <v>0</v>
      </c>
      <c r="H79" s="2" t="s">
        <v>27</v>
      </c>
      <c r="I79" s="2" t="s">
        <v>351</v>
      </c>
      <c r="J79">
        <v>2</v>
      </c>
      <c r="K79">
        <v>0.85940000000000005</v>
      </c>
    </row>
    <row r="80" spans="1:11" x14ac:dyDescent="0.3">
      <c r="A80" s="2" t="s">
        <v>595</v>
      </c>
      <c r="B80" s="2" t="s">
        <v>596</v>
      </c>
      <c r="C80">
        <v>101</v>
      </c>
      <c r="D80">
        <v>35.85</v>
      </c>
      <c r="E80">
        <v>34.299999999999997</v>
      </c>
      <c r="F80">
        <v>34.5</v>
      </c>
      <c r="G80">
        <v>0</v>
      </c>
      <c r="H80" s="2" t="s">
        <v>27</v>
      </c>
      <c r="I80" s="2" t="s">
        <v>283</v>
      </c>
      <c r="J80">
        <v>1</v>
      </c>
      <c r="K80">
        <v>1.0078</v>
      </c>
    </row>
    <row r="81" spans="1:11" x14ac:dyDescent="0.3">
      <c r="A81" s="2" t="s">
        <v>597</v>
      </c>
      <c r="B81" s="2" t="s">
        <v>598</v>
      </c>
      <c r="C81">
        <v>104</v>
      </c>
      <c r="D81">
        <v>31.2</v>
      </c>
      <c r="E81">
        <v>31.3</v>
      </c>
      <c r="F81">
        <v>31.5</v>
      </c>
      <c r="G81">
        <v>0</v>
      </c>
      <c r="H81" s="2" t="s">
        <v>27</v>
      </c>
      <c r="I81" s="2" t="s">
        <v>29</v>
      </c>
      <c r="J81">
        <v>1</v>
      </c>
      <c r="K81">
        <v>0.92190000000000005</v>
      </c>
    </row>
    <row r="82" spans="1:11" x14ac:dyDescent="0.3">
      <c r="A82" s="2" t="s">
        <v>599</v>
      </c>
      <c r="B82" s="2" t="s">
        <v>600</v>
      </c>
      <c r="C82">
        <v>103</v>
      </c>
      <c r="D82">
        <v>31.37</v>
      </c>
      <c r="E82">
        <v>32.299999999999997</v>
      </c>
      <c r="F82">
        <v>32.5</v>
      </c>
      <c r="G82">
        <v>0.52</v>
      </c>
      <c r="H82" s="2" t="s">
        <v>601</v>
      </c>
      <c r="I82" s="2" t="s">
        <v>29</v>
      </c>
      <c r="J82">
        <v>0</v>
      </c>
      <c r="K82">
        <v>0.95309999999999995</v>
      </c>
    </row>
    <row r="83" spans="1:11" x14ac:dyDescent="0.3">
      <c r="A83" s="2" t="s">
        <v>602</v>
      </c>
      <c r="B83" s="2" t="s">
        <v>603</v>
      </c>
      <c r="C83">
        <v>65</v>
      </c>
      <c r="D83">
        <v>69.010000000000005</v>
      </c>
      <c r="E83">
        <v>70.099999999999994</v>
      </c>
      <c r="F83">
        <v>70.75</v>
      </c>
      <c r="G83">
        <v>-2.64</v>
      </c>
      <c r="H83" s="2" t="s">
        <v>604</v>
      </c>
      <c r="I83" s="2" t="s">
        <v>209</v>
      </c>
      <c r="J83">
        <v>0</v>
      </c>
      <c r="K83">
        <v>2.5078</v>
      </c>
    </row>
    <row r="84" spans="1:11" x14ac:dyDescent="0.3">
      <c r="A84" s="2" t="s">
        <v>605</v>
      </c>
      <c r="B84" s="2" t="s">
        <v>606</v>
      </c>
      <c r="C84">
        <v>50</v>
      </c>
      <c r="D84">
        <v>86.15</v>
      </c>
      <c r="E84">
        <v>85</v>
      </c>
      <c r="F84">
        <v>85.75</v>
      </c>
      <c r="G84">
        <v>0</v>
      </c>
      <c r="H84" s="2" t="s">
        <v>27</v>
      </c>
      <c r="I84" s="2" t="s">
        <v>369</v>
      </c>
      <c r="J84">
        <v>0</v>
      </c>
      <c r="K84">
        <v>2.625</v>
      </c>
    </row>
    <row r="85" spans="1:11" x14ac:dyDescent="0.3">
      <c r="A85" s="2" t="s">
        <v>607</v>
      </c>
      <c r="B85" s="2" t="s">
        <v>608</v>
      </c>
      <c r="C85">
        <v>45</v>
      </c>
      <c r="D85">
        <v>90.65</v>
      </c>
      <c r="E85">
        <v>90</v>
      </c>
      <c r="F85">
        <v>90.75</v>
      </c>
      <c r="G85">
        <v>0</v>
      </c>
      <c r="H85" s="2" t="s">
        <v>27</v>
      </c>
      <c r="I85" s="2" t="s">
        <v>28</v>
      </c>
      <c r="J85">
        <v>0</v>
      </c>
      <c r="K85">
        <v>2.9375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8B367-D313-45C1-B459-4D52914B6B62}">
  <sheetPr codeName="Sheet8">
    <tabColor rgb="FF0070C0"/>
  </sheetPr>
  <dimension ref="A1:K85"/>
  <sheetViews>
    <sheetView showGridLines="0" topLeftCell="A2" workbookViewId="0"/>
  </sheetViews>
  <sheetFormatPr defaultRowHeight="14.4" x14ac:dyDescent="0.3"/>
  <cols>
    <col min="1" max="1" width="20.33203125" bestFit="1" customWidth="1"/>
    <col min="2" max="2" width="21.77734375" bestFit="1" customWidth="1"/>
    <col min="3" max="3" width="8" bestFit="1" customWidth="1"/>
    <col min="4" max="4" width="11.109375" bestFit="1" customWidth="1"/>
    <col min="5" max="5" width="6" bestFit="1" customWidth="1"/>
    <col min="6" max="6" width="6.21875" bestFit="1" customWidth="1"/>
    <col min="7" max="7" width="9.5546875" bestFit="1" customWidth="1"/>
    <col min="8" max="8" width="11.44140625" bestFit="1" customWidth="1"/>
    <col min="9" max="9" width="9.77734375" bestFit="1" customWidth="1"/>
    <col min="10" max="10" width="14.6640625" bestFit="1" customWidth="1"/>
    <col min="11" max="11" width="17.5546875" bestFit="1" customWidth="1"/>
  </cols>
  <sheetData>
    <row r="1" spans="1:11" x14ac:dyDescent="0.3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6</v>
      </c>
      <c r="J1" t="s">
        <v>25</v>
      </c>
      <c r="K1" t="s">
        <v>26</v>
      </c>
    </row>
    <row r="2" spans="1:11" x14ac:dyDescent="0.3">
      <c r="A2" s="2" t="s">
        <v>135</v>
      </c>
      <c r="B2" s="2" t="s">
        <v>136</v>
      </c>
      <c r="C2">
        <v>130</v>
      </c>
      <c r="D2">
        <v>0.31</v>
      </c>
      <c r="E2">
        <v>0.31</v>
      </c>
      <c r="F2">
        <v>0.33</v>
      </c>
      <c r="G2">
        <v>-0.22</v>
      </c>
      <c r="H2" s="2" t="s">
        <v>137</v>
      </c>
      <c r="I2" s="2" t="s">
        <v>138</v>
      </c>
      <c r="J2">
        <v>36317</v>
      </c>
      <c r="K2">
        <v>0.313</v>
      </c>
    </row>
    <row r="3" spans="1:11" x14ac:dyDescent="0.3">
      <c r="A3" s="2" t="s">
        <v>139</v>
      </c>
      <c r="B3" s="2" t="s">
        <v>140</v>
      </c>
      <c r="C3">
        <v>120</v>
      </c>
      <c r="D3">
        <v>0.09</v>
      </c>
      <c r="E3">
        <v>0.08</v>
      </c>
      <c r="F3">
        <v>0.09</v>
      </c>
      <c r="G3">
        <v>-0.04</v>
      </c>
      <c r="H3" s="2" t="s">
        <v>141</v>
      </c>
      <c r="I3" s="2" t="s">
        <v>142</v>
      </c>
      <c r="J3">
        <v>34038</v>
      </c>
      <c r="K3">
        <v>0.53710000000000002</v>
      </c>
    </row>
    <row r="4" spans="1:11" x14ac:dyDescent="0.3">
      <c r="A4" s="2" t="s">
        <v>143</v>
      </c>
      <c r="B4" s="2" t="s">
        <v>136</v>
      </c>
      <c r="C4">
        <v>135</v>
      </c>
      <c r="D4">
        <v>1.41</v>
      </c>
      <c r="E4">
        <v>1.4</v>
      </c>
      <c r="F4">
        <v>1.46</v>
      </c>
      <c r="G4">
        <v>-0.56999999999999995</v>
      </c>
      <c r="H4" s="2" t="s">
        <v>144</v>
      </c>
      <c r="I4" s="2" t="s">
        <v>145</v>
      </c>
      <c r="J4">
        <v>28566</v>
      </c>
      <c r="K4">
        <v>0.25950000000000001</v>
      </c>
    </row>
    <row r="5" spans="1:11" x14ac:dyDescent="0.3">
      <c r="A5" s="2" t="s">
        <v>146</v>
      </c>
      <c r="B5" s="2" t="s">
        <v>147</v>
      </c>
      <c r="C5">
        <v>115</v>
      </c>
      <c r="D5">
        <v>7.0000000000000007E-2</v>
      </c>
      <c r="E5">
        <v>0.06</v>
      </c>
      <c r="F5">
        <v>7.0000000000000007E-2</v>
      </c>
      <c r="G5">
        <v>-0.01</v>
      </c>
      <c r="H5" s="2" t="s">
        <v>148</v>
      </c>
      <c r="I5" s="2" t="s">
        <v>149</v>
      </c>
      <c r="J5">
        <v>27742</v>
      </c>
      <c r="K5">
        <v>0.66800000000000004</v>
      </c>
    </row>
    <row r="6" spans="1:11" x14ac:dyDescent="0.3">
      <c r="A6" s="2" t="s">
        <v>150</v>
      </c>
      <c r="B6" s="2" t="s">
        <v>151</v>
      </c>
      <c r="C6">
        <v>110</v>
      </c>
      <c r="D6">
        <v>0.05</v>
      </c>
      <c r="E6">
        <v>0.03</v>
      </c>
      <c r="F6">
        <v>0.04</v>
      </c>
      <c r="G6">
        <v>0.01</v>
      </c>
      <c r="H6" s="2" t="s">
        <v>152</v>
      </c>
      <c r="I6" s="2" t="s">
        <v>153</v>
      </c>
      <c r="J6">
        <v>22903</v>
      </c>
      <c r="K6">
        <v>0.75780000000000003</v>
      </c>
    </row>
    <row r="7" spans="1:11" x14ac:dyDescent="0.3">
      <c r="A7" s="2" t="s">
        <v>154</v>
      </c>
      <c r="B7" s="2" t="s">
        <v>155</v>
      </c>
      <c r="C7">
        <v>105</v>
      </c>
      <c r="D7">
        <v>0.03</v>
      </c>
      <c r="E7">
        <v>0.02</v>
      </c>
      <c r="F7">
        <v>0.03</v>
      </c>
      <c r="G7">
        <v>0.01</v>
      </c>
      <c r="H7" s="2" t="s">
        <v>156</v>
      </c>
      <c r="I7" s="2" t="s">
        <v>157</v>
      </c>
      <c r="J7">
        <v>22127</v>
      </c>
      <c r="K7">
        <v>0.875</v>
      </c>
    </row>
    <row r="8" spans="1:11" x14ac:dyDescent="0.3">
      <c r="A8" s="2" t="s">
        <v>158</v>
      </c>
      <c r="B8" s="2" t="s">
        <v>136</v>
      </c>
      <c r="C8">
        <v>125</v>
      </c>
      <c r="D8">
        <v>0.14000000000000001</v>
      </c>
      <c r="E8">
        <v>0.13</v>
      </c>
      <c r="F8">
        <v>0.15</v>
      </c>
      <c r="G8">
        <v>-7.0000000000000007E-2</v>
      </c>
      <c r="H8" s="2" t="s">
        <v>159</v>
      </c>
      <c r="I8" s="2" t="s">
        <v>160</v>
      </c>
      <c r="J8">
        <v>22106</v>
      </c>
      <c r="K8">
        <v>0.42580000000000001</v>
      </c>
    </row>
    <row r="9" spans="1:11" x14ac:dyDescent="0.3">
      <c r="A9" s="2" t="s">
        <v>161</v>
      </c>
      <c r="B9" s="2" t="s">
        <v>162</v>
      </c>
      <c r="C9">
        <v>100</v>
      </c>
      <c r="D9">
        <v>0.02</v>
      </c>
      <c r="E9">
        <v>0.01</v>
      </c>
      <c r="F9">
        <v>0.02</v>
      </c>
      <c r="G9">
        <v>0</v>
      </c>
      <c r="H9" s="2" t="s">
        <v>27</v>
      </c>
      <c r="I9" s="2" t="s">
        <v>163</v>
      </c>
      <c r="J9">
        <v>19770</v>
      </c>
      <c r="K9">
        <v>0.96879999999999999</v>
      </c>
    </row>
    <row r="10" spans="1:11" x14ac:dyDescent="0.3">
      <c r="A10" s="2" t="s">
        <v>164</v>
      </c>
      <c r="B10" s="2" t="s">
        <v>136</v>
      </c>
      <c r="C10">
        <v>140</v>
      </c>
      <c r="D10">
        <v>4.87</v>
      </c>
      <c r="E10">
        <v>4.8499999999999996</v>
      </c>
      <c r="F10">
        <v>5.05</v>
      </c>
      <c r="G10">
        <v>-0.4</v>
      </c>
      <c r="H10" s="2" t="s">
        <v>165</v>
      </c>
      <c r="I10" s="2" t="s">
        <v>166</v>
      </c>
      <c r="J10">
        <v>18471</v>
      </c>
      <c r="K10">
        <v>0.2959</v>
      </c>
    </row>
    <row r="11" spans="1:11" x14ac:dyDescent="0.3">
      <c r="A11" s="2" t="s">
        <v>167</v>
      </c>
      <c r="B11" s="2" t="s">
        <v>136</v>
      </c>
      <c r="C11">
        <v>136</v>
      </c>
      <c r="D11">
        <v>1.92</v>
      </c>
      <c r="E11">
        <v>1.94</v>
      </c>
      <c r="F11">
        <v>1.97</v>
      </c>
      <c r="G11">
        <v>-0.51</v>
      </c>
      <c r="H11" s="2" t="s">
        <v>168</v>
      </c>
      <c r="I11" s="2" t="s">
        <v>169</v>
      </c>
      <c r="J11">
        <v>15998</v>
      </c>
      <c r="K11">
        <v>0.25829999999999997</v>
      </c>
    </row>
    <row r="12" spans="1:11" x14ac:dyDescent="0.3">
      <c r="A12" s="2" t="s">
        <v>170</v>
      </c>
      <c r="B12" s="2" t="s">
        <v>136</v>
      </c>
      <c r="C12">
        <v>131</v>
      </c>
      <c r="D12">
        <v>0.41</v>
      </c>
      <c r="E12">
        <v>0.41</v>
      </c>
      <c r="F12">
        <v>0.42</v>
      </c>
      <c r="G12">
        <v>-0.26</v>
      </c>
      <c r="H12" s="2" t="s">
        <v>171</v>
      </c>
      <c r="I12" s="2" t="s">
        <v>172</v>
      </c>
      <c r="J12">
        <v>14451</v>
      </c>
      <c r="K12">
        <v>0.2949</v>
      </c>
    </row>
    <row r="13" spans="1:11" x14ac:dyDescent="0.3">
      <c r="A13" s="2" t="s">
        <v>173</v>
      </c>
      <c r="B13" s="2" t="s">
        <v>136</v>
      </c>
      <c r="C13">
        <v>132</v>
      </c>
      <c r="D13">
        <v>0.54</v>
      </c>
      <c r="E13">
        <v>0.53</v>
      </c>
      <c r="F13">
        <v>0.56000000000000005</v>
      </c>
      <c r="G13">
        <v>-0.34</v>
      </c>
      <c r="H13" s="2" t="s">
        <v>174</v>
      </c>
      <c r="I13" s="2" t="s">
        <v>175</v>
      </c>
      <c r="J13">
        <v>12609</v>
      </c>
      <c r="K13">
        <v>0.28079999999999999</v>
      </c>
    </row>
    <row r="14" spans="1:11" x14ac:dyDescent="0.3">
      <c r="A14" s="2" t="s">
        <v>176</v>
      </c>
      <c r="B14" s="2" t="s">
        <v>177</v>
      </c>
      <c r="C14">
        <v>150</v>
      </c>
      <c r="D14">
        <v>15.13</v>
      </c>
      <c r="E14">
        <v>14.55</v>
      </c>
      <c r="F14">
        <v>14.75</v>
      </c>
      <c r="G14">
        <v>-0.02</v>
      </c>
      <c r="H14" s="2" t="s">
        <v>178</v>
      </c>
      <c r="I14" s="2" t="s">
        <v>179</v>
      </c>
      <c r="J14">
        <v>11782</v>
      </c>
      <c r="K14">
        <v>0.49020000000000002</v>
      </c>
    </row>
    <row r="15" spans="1:11" x14ac:dyDescent="0.3">
      <c r="A15" s="2" t="s">
        <v>180</v>
      </c>
      <c r="B15" s="2" t="s">
        <v>136</v>
      </c>
      <c r="C15">
        <v>126</v>
      </c>
      <c r="D15">
        <v>0.16</v>
      </c>
      <c r="E15">
        <v>0.15</v>
      </c>
      <c r="F15">
        <v>0.17</v>
      </c>
      <c r="G15">
        <v>-7.0000000000000007E-2</v>
      </c>
      <c r="H15" s="2" t="s">
        <v>181</v>
      </c>
      <c r="I15" s="2" t="s">
        <v>182</v>
      </c>
      <c r="J15">
        <v>11232</v>
      </c>
      <c r="K15">
        <v>0.40229999999999999</v>
      </c>
    </row>
    <row r="16" spans="1:11" x14ac:dyDescent="0.3">
      <c r="A16" s="2" t="s">
        <v>183</v>
      </c>
      <c r="B16" s="2" t="s">
        <v>136</v>
      </c>
      <c r="C16">
        <v>128</v>
      </c>
      <c r="D16">
        <v>0.2</v>
      </c>
      <c r="E16">
        <v>0.2</v>
      </c>
      <c r="F16">
        <v>0.22</v>
      </c>
      <c r="G16">
        <v>-0.12</v>
      </c>
      <c r="H16" s="2" t="s">
        <v>184</v>
      </c>
      <c r="I16" s="2" t="s">
        <v>185</v>
      </c>
      <c r="J16">
        <v>10819</v>
      </c>
      <c r="K16">
        <v>0.35299999999999998</v>
      </c>
    </row>
    <row r="17" spans="1:11" x14ac:dyDescent="0.3">
      <c r="A17" s="2" t="s">
        <v>186</v>
      </c>
      <c r="B17" s="2" t="s">
        <v>187</v>
      </c>
      <c r="C17">
        <v>127</v>
      </c>
      <c r="D17">
        <v>0.18</v>
      </c>
      <c r="E17">
        <v>0.17</v>
      </c>
      <c r="F17">
        <v>0.19</v>
      </c>
      <c r="G17">
        <v>-0.09</v>
      </c>
      <c r="H17" s="2" t="s">
        <v>159</v>
      </c>
      <c r="I17" s="2" t="s">
        <v>188</v>
      </c>
      <c r="J17">
        <v>10791</v>
      </c>
      <c r="K17">
        <v>0.376</v>
      </c>
    </row>
    <row r="18" spans="1:11" x14ac:dyDescent="0.3">
      <c r="A18" s="2" t="s">
        <v>189</v>
      </c>
      <c r="B18" s="2" t="s">
        <v>147</v>
      </c>
      <c r="C18">
        <v>121</v>
      </c>
      <c r="D18">
        <v>0.1</v>
      </c>
      <c r="E18">
        <v>0.09</v>
      </c>
      <c r="F18">
        <v>0.1</v>
      </c>
      <c r="G18">
        <v>-0.04</v>
      </c>
      <c r="H18" s="2" t="s">
        <v>190</v>
      </c>
      <c r="I18" s="2" t="s">
        <v>191</v>
      </c>
      <c r="J18">
        <v>9458</v>
      </c>
      <c r="K18">
        <v>0.51559999999999995</v>
      </c>
    </row>
    <row r="19" spans="1:11" x14ac:dyDescent="0.3">
      <c r="A19" s="2" t="s">
        <v>192</v>
      </c>
      <c r="B19" s="2" t="s">
        <v>136</v>
      </c>
      <c r="C19">
        <v>133</v>
      </c>
      <c r="D19">
        <v>0.74</v>
      </c>
      <c r="E19">
        <v>0.73</v>
      </c>
      <c r="F19">
        <v>0.77</v>
      </c>
      <c r="G19">
        <v>-0.38</v>
      </c>
      <c r="H19" s="2" t="s">
        <v>193</v>
      </c>
      <c r="I19" s="2" t="s">
        <v>194</v>
      </c>
      <c r="J19">
        <v>9092</v>
      </c>
      <c r="K19">
        <v>0.27100000000000002</v>
      </c>
    </row>
    <row r="20" spans="1:11" x14ac:dyDescent="0.3">
      <c r="A20" s="2" t="s">
        <v>195</v>
      </c>
      <c r="B20" s="2" t="s">
        <v>140</v>
      </c>
      <c r="C20">
        <v>129</v>
      </c>
      <c r="D20">
        <v>0.25</v>
      </c>
      <c r="E20">
        <v>0.24</v>
      </c>
      <c r="F20">
        <v>0.26</v>
      </c>
      <c r="G20">
        <v>-0.17</v>
      </c>
      <c r="H20" s="2" t="s">
        <v>196</v>
      </c>
      <c r="I20" s="2" t="s">
        <v>197</v>
      </c>
      <c r="J20">
        <v>8508</v>
      </c>
      <c r="K20">
        <v>0.3301</v>
      </c>
    </row>
    <row r="21" spans="1:11" x14ac:dyDescent="0.3">
      <c r="A21" s="2" t="s">
        <v>198</v>
      </c>
      <c r="B21" s="2" t="s">
        <v>199</v>
      </c>
      <c r="C21">
        <v>145</v>
      </c>
      <c r="D21">
        <v>10</v>
      </c>
      <c r="E21">
        <v>9.6</v>
      </c>
      <c r="F21">
        <v>9.8000000000000007</v>
      </c>
      <c r="G21">
        <v>-0.08</v>
      </c>
      <c r="H21" s="2" t="s">
        <v>200</v>
      </c>
      <c r="I21" s="2" t="s">
        <v>201</v>
      </c>
      <c r="J21">
        <v>8040</v>
      </c>
      <c r="K21">
        <v>0.38279999999999997</v>
      </c>
    </row>
    <row r="22" spans="1:11" x14ac:dyDescent="0.3">
      <c r="A22" s="2" t="s">
        <v>202</v>
      </c>
      <c r="B22" s="2" t="s">
        <v>136</v>
      </c>
      <c r="C22">
        <v>134</v>
      </c>
      <c r="D22">
        <v>1.05</v>
      </c>
      <c r="E22">
        <v>1.02</v>
      </c>
      <c r="F22">
        <v>1.06</v>
      </c>
      <c r="G22">
        <v>-0.42</v>
      </c>
      <c r="H22" s="2" t="s">
        <v>190</v>
      </c>
      <c r="I22" s="2" t="s">
        <v>203</v>
      </c>
      <c r="J22">
        <v>8004</v>
      </c>
      <c r="K22">
        <v>0.26319999999999999</v>
      </c>
    </row>
    <row r="23" spans="1:11" x14ac:dyDescent="0.3">
      <c r="A23" s="2" t="s">
        <v>204</v>
      </c>
      <c r="B23" s="2" t="s">
        <v>205</v>
      </c>
      <c r="C23">
        <v>90</v>
      </c>
      <c r="D23">
        <v>0.01</v>
      </c>
      <c r="E23">
        <v>0</v>
      </c>
      <c r="F23">
        <v>0.01</v>
      </c>
      <c r="G23">
        <v>0</v>
      </c>
      <c r="H23" s="2" t="s">
        <v>27</v>
      </c>
      <c r="I23" s="2" t="s">
        <v>206</v>
      </c>
      <c r="J23">
        <v>7935</v>
      </c>
      <c r="K23">
        <v>1.1563000000000001</v>
      </c>
    </row>
    <row r="24" spans="1:11" x14ac:dyDescent="0.3">
      <c r="A24" s="2" t="s">
        <v>207</v>
      </c>
      <c r="B24" s="2" t="s">
        <v>208</v>
      </c>
      <c r="C24">
        <v>85</v>
      </c>
      <c r="D24">
        <v>0.01</v>
      </c>
      <c r="E24">
        <v>0</v>
      </c>
      <c r="F24">
        <v>0.01</v>
      </c>
      <c r="G24">
        <v>0</v>
      </c>
      <c r="H24" s="2" t="s">
        <v>27</v>
      </c>
      <c r="I24" s="2" t="s">
        <v>209</v>
      </c>
      <c r="J24">
        <v>7660</v>
      </c>
      <c r="K24">
        <v>1.3125</v>
      </c>
    </row>
    <row r="25" spans="1:11" x14ac:dyDescent="0.3">
      <c r="A25" s="2" t="s">
        <v>210</v>
      </c>
      <c r="B25" s="2" t="s">
        <v>211</v>
      </c>
      <c r="C25">
        <v>95</v>
      </c>
      <c r="D25">
        <v>0.01</v>
      </c>
      <c r="E25">
        <v>0</v>
      </c>
      <c r="F25">
        <v>0.01</v>
      </c>
      <c r="G25">
        <v>0</v>
      </c>
      <c r="H25" s="2" t="s">
        <v>27</v>
      </c>
      <c r="I25" s="2" t="s">
        <v>212</v>
      </c>
      <c r="J25">
        <v>7365</v>
      </c>
      <c r="K25">
        <v>1</v>
      </c>
    </row>
    <row r="26" spans="1:11" x14ac:dyDescent="0.3">
      <c r="A26" s="2" t="s">
        <v>213</v>
      </c>
      <c r="B26" s="2" t="s">
        <v>187</v>
      </c>
      <c r="C26">
        <v>137</v>
      </c>
      <c r="D26">
        <v>2.5</v>
      </c>
      <c r="E26">
        <v>2.52</v>
      </c>
      <c r="F26">
        <v>2.61</v>
      </c>
      <c r="G26">
        <v>-0.49</v>
      </c>
      <c r="H26" s="2" t="s">
        <v>214</v>
      </c>
      <c r="I26" s="2" t="s">
        <v>215</v>
      </c>
      <c r="J26">
        <v>6139</v>
      </c>
      <c r="K26">
        <v>0.26269999999999999</v>
      </c>
    </row>
    <row r="27" spans="1:11" x14ac:dyDescent="0.3">
      <c r="A27" s="2" t="s">
        <v>216</v>
      </c>
      <c r="B27" s="2" t="s">
        <v>187</v>
      </c>
      <c r="C27">
        <v>139</v>
      </c>
      <c r="D27">
        <v>4</v>
      </c>
      <c r="E27">
        <v>4</v>
      </c>
      <c r="F27">
        <v>4.1500000000000004</v>
      </c>
      <c r="G27">
        <v>-0.52</v>
      </c>
      <c r="H27" s="2" t="s">
        <v>217</v>
      </c>
      <c r="I27" s="2" t="s">
        <v>218</v>
      </c>
      <c r="J27">
        <v>6112</v>
      </c>
      <c r="K27">
        <v>0.27739999999999998</v>
      </c>
    </row>
    <row r="28" spans="1:11" x14ac:dyDescent="0.3">
      <c r="A28" s="2" t="s">
        <v>219</v>
      </c>
      <c r="B28" s="2" t="s">
        <v>220</v>
      </c>
      <c r="C28">
        <v>119</v>
      </c>
      <c r="D28">
        <v>0.08</v>
      </c>
      <c r="E28">
        <v>7.0000000000000007E-2</v>
      </c>
      <c r="F28">
        <v>0.09</v>
      </c>
      <c r="G28">
        <v>-0.02</v>
      </c>
      <c r="H28" s="2" t="s">
        <v>221</v>
      </c>
      <c r="I28" s="2" t="s">
        <v>206</v>
      </c>
      <c r="J28">
        <v>4600</v>
      </c>
      <c r="K28">
        <v>0.5625</v>
      </c>
    </row>
    <row r="29" spans="1:11" x14ac:dyDescent="0.3">
      <c r="A29" s="2" t="s">
        <v>222</v>
      </c>
      <c r="B29" s="2" t="s">
        <v>223</v>
      </c>
      <c r="C29">
        <v>80</v>
      </c>
      <c r="D29">
        <v>0.01</v>
      </c>
      <c r="E29">
        <v>0</v>
      </c>
      <c r="F29">
        <v>0.01</v>
      </c>
      <c r="G29">
        <v>0</v>
      </c>
      <c r="H29" s="2" t="s">
        <v>27</v>
      </c>
      <c r="I29" s="2" t="s">
        <v>224</v>
      </c>
      <c r="J29">
        <v>4030</v>
      </c>
      <c r="K29">
        <v>1.4375</v>
      </c>
    </row>
    <row r="30" spans="1:11" x14ac:dyDescent="0.3">
      <c r="A30" s="2" t="s">
        <v>225</v>
      </c>
      <c r="B30" s="2" t="s">
        <v>226</v>
      </c>
      <c r="C30">
        <v>141</v>
      </c>
      <c r="D30">
        <v>5.8</v>
      </c>
      <c r="E30">
        <v>5.75</v>
      </c>
      <c r="F30">
        <v>5.95</v>
      </c>
      <c r="G30">
        <v>-0.34</v>
      </c>
      <c r="H30" s="2" t="s">
        <v>227</v>
      </c>
      <c r="I30" s="2" t="s">
        <v>228</v>
      </c>
      <c r="J30">
        <v>3618</v>
      </c>
      <c r="K30">
        <v>0.30759999999999998</v>
      </c>
    </row>
    <row r="31" spans="1:11" x14ac:dyDescent="0.3">
      <c r="A31" s="2" t="s">
        <v>229</v>
      </c>
      <c r="B31" s="2" t="s">
        <v>230</v>
      </c>
      <c r="C31">
        <v>124</v>
      </c>
      <c r="D31">
        <v>0.12</v>
      </c>
      <c r="E31">
        <v>0.12</v>
      </c>
      <c r="F31">
        <v>0.14000000000000001</v>
      </c>
      <c r="G31">
        <v>-0.06</v>
      </c>
      <c r="H31" s="2" t="s">
        <v>159</v>
      </c>
      <c r="I31" s="2" t="s">
        <v>231</v>
      </c>
      <c r="J31">
        <v>3465</v>
      </c>
      <c r="K31">
        <v>0.4531</v>
      </c>
    </row>
    <row r="32" spans="1:11" x14ac:dyDescent="0.3">
      <c r="A32" s="2" t="s">
        <v>232</v>
      </c>
      <c r="B32" s="2" t="s">
        <v>233</v>
      </c>
      <c r="C32">
        <v>142</v>
      </c>
      <c r="D32">
        <v>7.49</v>
      </c>
      <c r="E32">
        <v>6.7</v>
      </c>
      <c r="F32">
        <v>6.9</v>
      </c>
      <c r="G32">
        <v>0.39</v>
      </c>
      <c r="H32" s="2" t="s">
        <v>234</v>
      </c>
      <c r="I32" s="2" t="s">
        <v>235</v>
      </c>
      <c r="J32">
        <v>3134</v>
      </c>
      <c r="K32">
        <v>0.32719999999999999</v>
      </c>
    </row>
    <row r="33" spans="1:11" x14ac:dyDescent="0.3">
      <c r="A33" s="2" t="s">
        <v>236</v>
      </c>
      <c r="B33" s="2" t="s">
        <v>136</v>
      </c>
      <c r="C33">
        <v>122</v>
      </c>
      <c r="D33">
        <v>0.11</v>
      </c>
      <c r="E33">
        <v>0.1</v>
      </c>
      <c r="F33">
        <v>0.11</v>
      </c>
      <c r="G33">
        <v>-0.03</v>
      </c>
      <c r="H33" s="2" t="s">
        <v>237</v>
      </c>
      <c r="I33" s="2" t="s">
        <v>238</v>
      </c>
      <c r="J33">
        <v>2827</v>
      </c>
      <c r="K33">
        <v>0.49709999999999999</v>
      </c>
    </row>
    <row r="34" spans="1:11" x14ac:dyDescent="0.3">
      <c r="A34" s="2" t="s">
        <v>239</v>
      </c>
      <c r="B34" s="2" t="s">
        <v>240</v>
      </c>
      <c r="C34">
        <v>75</v>
      </c>
      <c r="D34">
        <v>0.01</v>
      </c>
      <c r="E34">
        <v>0</v>
      </c>
      <c r="F34">
        <v>0.01</v>
      </c>
      <c r="G34">
        <v>0</v>
      </c>
      <c r="H34" s="2" t="s">
        <v>27</v>
      </c>
      <c r="I34" s="2" t="s">
        <v>29</v>
      </c>
      <c r="J34">
        <v>2823</v>
      </c>
      <c r="K34">
        <v>1.625</v>
      </c>
    </row>
    <row r="35" spans="1:11" x14ac:dyDescent="0.3">
      <c r="A35" s="2" t="s">
        <v>241</v>
      </c>
      <c r="B35" s="2" t="s">
        <v>136</v>
      </c>
      <c r="C35">
        <v>138</v>
      </c>
      <c r="D35">
        <v>3.25</v>
      </c>
      <c r="E35">
        <v>3.2</v>
      </c>
      <c r="F35">
        <v>3.35</v>
      </c>
      <c r="G35">
        <v>-0.6</v>
      </c>
      <c r="H35" s="2" t="s">
        <v>242</v>
      </c>
      <c r="I35" s="2" t="s">
        <v>243</v>
      </c>
      <c r="J35">
        <v>2344</v>
      </c>
      <c r="K35">
        <v>0.27050000000000002</v>
      </c>
    </row>
    <row r="36" spans="1:11" x14ac:dyDescent="0.3">
      <c r="A36" s="2" t="s">
        <v>244</v>
      </c>
      <c r="B36" s="2" t="s">
        <v>245</v>
      </c>
      <c r="C36">
        <v>144</v>
      </c>
      <c r="D36">
        <v>9.1</v>
      </c>
      <c r="E36">
        <v>8.65</v>
      </c>
      <c r="F36">
        <v>8.85</v>
      </c>
      <c r="G36">
        <v>-1.1100000000000001</v>
      </c>
      <c r="H36" s="2" t="s">
        <v>246</v>
      </c>
      <c r="I36" s="2" t="s">
        <v>247</v>
      </c>
      <c r="J36">
        <v>2318</v>
      </c>
      <c r="K36">
        <v>0.375</v>
      </c>
    </row>
    <row r="37" spans="1:11" x14ac:dyDescent="0.3">
      <c r="A37" s="2" t="s">
        <v>248</v>
      </c>
      <c r="B37" s="2" t="s">
        <v>249</v>
      </c>
      <c r="C37">
        <v>118</v>
      </c>
      <c r="D37">
        <v>0.06</v>
      </c>
      <c r="E37">
        <v>7.0000000000000007E-2</v>
      </c>
      <c r="F37">
        <v>0.08</v>
      </c>
      <c r="G37">
        <v>-0.04</v>
      </c>
      <c r="H37" s="2" t="s">
        <v>250</v>
      </c>
      <c r="I37" s="2" t="s">
        <v>251</v>
      </c>
      <c r="J37">
        <v>2300</v>
      </c>
      <c r="K37">
        <v>0.58789999999999998</v>
      </c>
    </row>
    <row r="38" spans="1:11" x14ac:dyDescent="0.3">
      <c r="A38" s="2" t="s">
        <v>252</v>
      </c>
      <c r="B38" s="2" t="s">
        <v>253</v>
      </c>
      <c r="C38">
        <v>50</v>
      </c>
      <c r="D38">
        <v>0.01</v>
      </c>
      <c r="E38">
        <v>0</v>
      </c>
      <c r="F38">
        <v>0.01</v>
      </c>
      <c r="G38">
        <v>0</v>
      </c>
      <c r="H38" s="2" t="s">
        <v>27</v>
      </c>
      <c r="I38" s="2" t="s">
        <v>254</v>
      </c>
      <c r="J38">
        <v>2275</v>
      </c>
      <c r="K38">
        <v>2.6875</v>
      </c>
    </row>
    <row r="39" spans="1:11" x14ac:dyDescent="0.3">
      <c r="A39" s="2" t="s">
        <v>255</v>
      </c>
      <c r="B39" s="2" t="s">
        <v>256</v>
      </c>
      <c r="C39">
        <v>107</v>
      </c>
      <c r="D39">
        <v>0.03</v>
      </c>
      <c r="E39">
        <v>0.02</v>
      </c>
      <c r="F39">
        <v>0.04</v>
      </c>
      <c r="G39">
        <v>0</v>
      </c>
      <c r="H39" s="2" t="s">
        <v>27</v>
      </c>
      <c r="I39" s="2" t="s">
        <v>257</v>
      </c>
      <c r="J39">
        <v>2130</v>
      </c>
      <c r="K39">
        <v>0.82809999999999995</v>
      </c>
    </row>
    <row r="40" spans="1:11" x14ac:dyDescent="0.3">
      <c r="A40" s="2" t="s">
        <v>258</v>
      </c>
      <c r="B40" s="2" t="s">
        <v>259</v>
      </c>
      <c r="C40">
        <v>123</v>
      </c>
      <c r="D40">
        <v>0.11</v>
      </c>
      <c r="E40">
        <v>0.11</v>
      </c>
      <c r="F40">
        <v>0.12</v>
      </c>
      <c r="G40">
        <v>-0.05</v>
      </c>
      <c r="H40" s="2" t="s">
        <v>260</v>
      </c>
      <c r="I40" s="2" t="s">
        <v>261</v>
      </c>
      <c r="J40">
        <v>2080</v>
      </c>
      <c r="K40">
        <v>0.47270000000000001</v>
      </c>
    </row>
    <row r="41" spans="1:11" x14ac:dyDescent="0.3">
      <c r="A41" s="2" t="s">
        <v>262</v>
      </c>
      <c r="B41" s="2" t="s">
        <v>263</v>
      </c>
      <c r="C41">
        <v>117</v>
      </c>
      <c r="D41">
        <v>7.0000000000000007E-2</v>
      </c>
      <c r="E41">
        <v>0.06</v>
      </c>
      <c r="F41">
        <v>0.08</v>
      </c>
      <c r="G41">
        <v>-0.02</v>
      </c>
      <c r="H41" s="2" t="s">
        <v>264</v>
      </c>
      <c r="I41" s="2" t="s">
        <v>265</v>
      </c>
      <c r="J41">
        <v>2009</v>
      </c>
      <c r="K41">
        <v>0.61329999999999996</v>
      </c>
    </row>
    <row r="42" spans="1:11" x14ac:dyDescent="0.3">
      <c r="A42" s="2" t="s">
        <v>266</v>
      </c>
      <c r="B42" s="2" t="s">
        <v>267</v>
      </c>
      <c r="C42">
        <v>60</v>
      </c>
      <c r="D42">
        <v>0.01</v>
      </c>
      <c r="E42">
        <v>0</v>
      </c>
      <c r="F42">
        <v>0.01</v>
      </c>
      <c r="G42">
        <v>0</v>
      </c>
      <c r="H42" s="2" t="s">
        <v>27</v>
      </c>
      <c r="I42" s="2" t="s">
        <v>209</v>
      </c>
      <c r="J42">
        <v>1858</v>
      </c>
      <c r="K42">
        <v>2.1875</v>
      </c>
    </row>
    <row r="43" spans="1:11" x14ac:dyDescent="0.3">
      <c r="A43" s="2" t="s">
        <v>268</v>
      </c>
      <c r="B43" s="2" t="s">
        <v>269</v>
      </c>
      <c r="C43">
        <v>102</v>
      </c>
      <c r="D43">
        <v>0.02</v>
      </c>
      <c r="E43">
        <v>0.01</v>
      </c>
      <c r="F43">
        <v>0.03</v>
      </c>
      <c r="G43">
        <v>0</v>
      </c>
      <c r="H43" s="2" t="s">
        <v>27</v>
      </c>
      <c r="I43" s="2" t="s">
        <v>270</v>
      </c>
      <c r="J43">
        <v>1834</v>
      </c>
      <c r="K43">
        <v>0.9375</v>
      </c>
    </row>
    <row r="44" spans="1:11" x14ac:dyDescent="0.3">
      <c r="A44" s="2" t="s">
        <v>271</v>
      </c>
      <c r="B44" s="2" t="s">
        <v>272</v>
      </c>
      <c r="C44">
        <v>114</v>
      </c>
      <c r="D44">
        <v>0.06</v>
      </c>
      <c r="E44">
        <v>0.05</v>
      </c>
      <c r="F44">
        <v>0.06</v>
      </c>
      <c r="G44">
        <v>0</v>
      </c>
      <c r="H44" s="2" t="s">
        <v>27</v>
      </c>
      <c r="I44" s="2" t="s">
        <v>273</v>
      </c>
      <c r="J44">
        <v>1752</v>
      </c>
      <c r="K44">
        <v>0.67969999999999997</v>
      </c>
    </row>
    <row r="45" spans="1:11" x14ac:dyDescent="0.3">
      <c r="A45" s="2" t="s">
        <v>274</v>
      </c>
      <c r="B45" s="2" t="s">
        <v>275</v>
      </c>
      <c r="C45">
        <v>55</v>
      </c>
      <c r="D45">
        <v>0.01</v>
      </c>
      <c r="E45">
        <v>0</v>
      </c>
      <c r="F45">
        <v>0.01</v>
      </c>
      <c r="G45">
        <v>0</v>
      </c>
      <c r="H45" s="2" t="s">
        <v>27</v>
      </c>
      <c r="I45" s="2" t="s">
        <v>276</v>
      </c>
      <c r="J45">
        <v>1718</v>
      </c>
      <c r="K45">
        <v>2.4375</v>
      </c>
    </row>
    <row r="46" spans="1:11" x14ac:dyDescent="0.3">
      <c r="A46" s="2" t="s">
        <v>277</v>
      </c>
      <c r="B46" s="2" t="s">
        <v>278</v>
      </c>
      <c r="C46">
        <v>143</v>
      </c>
      <c r="D46">
        <v>8.15</v>
      </c>
      <c r="E46">
        <v>7.65</v>
      </c>
      <c r="F46">
        <v>7.85</v>
      </c>
      <c r="G46">
        <v>-0.34</v>
      </c>
      <c r="H46" s="2" t="s">
        <v>279</v>
      </c>
      <c r="I46" s="2" t="s">
        <v>280</v>
      </c>
      <c r="J46">
        <v>1691</v>
      </c>
      <c r="K46">
        <v>0.34279999999999999</v>
      </c>
    </row>
    <row r="47" spans="1:11" x14ac:dyDescent="0.3">
      <c r="A47" s="2" t="s">
        <v>281</v>
      </c>
      <c r="B47" s="2" t="s">
        <v>282</v>
      </c>
      <c r="C47">
        <v>70</v>
      </c>
      <c r="D47">
        <v>0.01</v>
      </c>
      <c r="E47">
        <v>0</v>
      </c>
      <c r="F47">
        <v>0.01</v>
      </c>
      <c r="G47">
        <v>0</v>
      </c>
      <c r="H47" s="2" t="s">
        <v>27</v>
      </c>
      <c r="I47" s="2" t="s">
        <v>283</v>
      </c>
      <c r="J47">
        <v>1588</v>
      </c>
      <c r="K47">
        <v>1.8125</v>
      </c>
    </row>
    <row r="48" spans="1:11" x14ac:dyDescent="0.3">
      <c r="A48" s="2" t="s">
        <v>284</v>
      </c>
      <c r="B48" s="2" t="s">
        <v>155</v>
      </c>
      <c r="C48">
        <v>112</v>
      </c>
      <c r="D48">
        <v>0.04</v>
      </c>
      <c r="E48">
        <v>0.04</v>
      </c>
      <c r="F48">
        <v>0.05</v>
      </c>
      <c r="G48">
        <v>-0.01</v>
      </c>
      <c r="H48" s="2" t="s">
        <v>221</v>
      </c>
      <c r="I48" s="2" t="s">
        <v>285</v>
      </c>
      <c r="J48">
        <v>1513</v>
      </c>
      <c r="K48">
        <v>0.72270000000000001</v>
      </c>
    </row>
    <row r="49" spans="1:11" x14ac:dyDescent="0.3">
      <c r="A49" s="2" t="s">
        <v>286</v>
      </c>
      <c r="B49" s="2" t="s">
        <v>287</v>
      </c>
      <c r="C49">
        <v>111</v>
      </c>
      <c r="D49">
        <v>0.05</v>
      </c>
      <c r="E49">
        <v>0.04</v>
      </c>
      <c r="F49">
        <v>0.05</v>
      </c>
      <c r="G49">
        <v>0</v>
      </c>
      <c r="H49" s="2" t="s">
        <v>27</v>
      </c>
      <c r="I49" s="2" t="s">
        <v>288</v>
      </c>
      <c r="J49">
        <v>1409</v>
      </c>
      <c r="K49">
        <v>0.75</v>
      </c>
    </row>
    <row r="50" spans="1:11" x14ac:dyDescent="0.3">
      <c r="A50" s="2" t="s">
        <v>289</v>
      </c>
      <c r="B50" s="2" t="s">
        <v>290</v>
      </c>
      <c r="C50">
        <v>45</v>
      </c>
      <c r="D50">
        <v>0.01</v>
      </c>
      <c r="E50">
        <v>0</v>
      </c>
      <c r="F50">
        <v>0.01</v>
      </c>
      <c r="G50">
        <v>0</v>
      </c>
      <c r="H50" s="2" t="s">
        <v>27</v>
      </c>
      <c r="I50" s="2" t="s">
        <v>291</v>
      </c>
      <c r="J50">
        <v>1381</v>
      </c>
      <c r="K50">
        <v>2.9375</v>
      </c>
    </row>
    <row r="51" spans="1:11" x14ac:dyDescent="0.3">
      <c r="A51" s="2" t="s">
        <v>292</v>
      </c>
      <c r="B51" s="2" t="s">
        <v>293</v>
      </c>
      <c r="C51">
        <v>113</v>
      </c>
      <c r="D51">
        <v>0.05</v>
      </c>
      <c r="E51">
        <v>0.04</v>
      </c>
      <c r="F51">
        <v>0.06</v>
      </c>
      <c r="G51">
        <v>-0.01</v>
      </c>
      <c r="H51" s="2" t="s">
        <v>294</v>
      </c>
      <c r="I51" s="2" t="s">
        <v>295</v>
      </c>
      <c r="J51">
        <v>1342</v>
      </c>
      <c r="K51">
        <v>0.70309999999999995</v>
      </c>
    </row>
    <row r="52" spans="1:11" x14ac:dyDescent="0.3">
      <c r="A52" s="2" t="s">
        <v>296</v>
      </c>
      <c r="B52" s="2" t="s">
        <v>297</v>
      </c>
      <c r="C52">
        <v>109</v>
      </c>
      <c r="D52">
        <v>0.03</v>
      </c>
      <c r="E52">
        <v>0.03</v>
      </c>
      <c r="F52">
        <v>0.04</v>
      </c>
      <c r="G52">
        <v>-0.01</v>
      </c>
      <c r="H52" s="2" t="s">
        <v>298</v>
      </c>
      <c r="I52" s="2" t="s">
        <v>299</v>
      </c>
      <c r="J52">
        <v>1180</v>
      </c>
      <c r="K52">
        <v>0.78910000000000002</v>
      </c>
    </row>
    <row r="53" spans="1:11" x14ac:dyDescent="0.3">
      <c r="A53" s="2" t="s">
        <v>300</v>
      </c>
      <c r="B53" s="2" t="s">
        <v>301</v>
      </c>
      <c r="C53">
        <v>103</v>
      </c>
      <c r="D53">
        <v>0.02</v>
      </c>
      <c r="E53">
        <v>0.02</v>
      </c>
      <c r="F53">
        <v>0.03</v>
      </c>
      <c r="G53">
        <v>-0.08</v>
      </c>
      <c r="H53" s="2" t="s">
        <v>302</v>
      </c>
      <c r="I53" s="2" t="s">
        <v>303</v>
      </c>
      <c r="J53">
        <v>1176</v>
      </c>
      <c r="K53">
        <v>0.92969999999999997</v>
      </c>
    </row>
    <row r="54" spans="1:11" x14ac:dyDescent="0.3">
      <c r="A54" s="2" t="s">
        <v>304</v>
      </c>
      <c r="B54" s="2" t="s">
        <v>187</v>
      </c>
      <c r="C54">
        <v>155</v>
      </c>
      <c r="D54">
        <v>19.63</v>
      </c>
      <c r="E54">
        <v>19.55</v>
      </c>
      <c r="F54">
        <v>19.75</v>
      </c>
      <c r="G54">
        <v>-0.27</v>
      </c>
      <c r="H54" s="2" t="s">
        <v>305</v>
      </c>
      <c r="I54" s="2" t="s">
        <v>306</v>
      </c>
      <c r="J54">
        <v>1160</v>
      </c>
      <c r="K54">
        <v>0.61429999999999996</v>
      </c>
    </row>
    <row r="55" spans="1:11" x14ac:dyDescent="0.3">
      <c r="A55" s="2" t="s">
        <v>307</v>
      </c>
      <c r="B55" s="2" t="s">
        <v>308</v>
      </c>
      <c r="C55">
        <v>160</v>
      </c>
      <c r="D55">
        <v>25.84</v>
      </c>
      <c r="E55">
        <v>24.55</v>
      </c>
      <c r="F55">
        <v>24.75</v>
      </c>
      <c r="G55">
        <v>1.1299999999999999</v>
      </c>
      <c r="H55" s="2" t="s">
        <v>309</v>
      </c>
      <c r="I55" s="2" t="s">
        <v>39</v>
      </c>
      <c r="J55">
        <v>1121</v>
      </c>
      <c r="K55">
        <v>0.57030000000000003</v>
      </c>
    </row>
    <row r="56" spans="1:11" x14ac:dyDescent="0.3">
      <c r="A56" s="2" t="s">
        <v>310</v>
      </c>
      <c r="B56" s="2" t="s">
        <v>311</v>
      </c>
      <c r="C56">
        <v>116</v>
      </c>
      <c r="D56">
        <v>7.0000000000000007E-2</v>
      </c>
      <c r="E56">
        <v>0.06</v>
      </c>
      <c r="F56">
        <v>7.0000000000000007E-2</v>
      </c>
      <c r="G56">
        <v>-0.01</v>
      </c>
      <c r="H56" s="2" t="s">
        <v>148</v>
      </c>
      <c r="I56" s="2" t="s">
        <v>312</v>
      </c>
      <c r="J56">
        <v>973</v>
      </c>
      <c r="K56">
        <v>0.63670000000000004</v>
      </c>
    </row>
    <row r="57" spans="1:11" x14ac:dyDescent="0.3">
      <c r="A57" s="2" t="s">
        <v>313</v>
      </c>
      <c r="B57" s="2" t="s">
        <v>314</v>
      </c>
      <c r="C57">
        <v>108</v>
      </c>
      <c r="D57">
        <v>0.04</v>
      </c>
      <c r="E57">
        <v>0.03</v>
      </c>
      <c r="F57">
        <v>0.04</v>
      </c>
      <c r="G57">
        <v>0</v>
      </c>
      <c r="H57" s="2" t="s">
        <v>27</v>
      </c>
      <c r="I57" s="2" t="s">
        <v>315</v>
      </c>
      <c r="J57">
        <v>958</v>
      </c>
      <c r="K57">
        <v>0.81640000000000001</v>
      </c>
    </row>
    <row r="58" spans="1:11" x14ac:dyDescent="0.3">
      <c r="A58" s="2" t="s">
        <v>316</v>
      </c>
      <c r="B58" s="2" t="s">
        <v>317</v>
      </c>
      <c r="C58">
        <v>106</v>
      </c>
      <c r="D58">
        <v>0.03</v>
      </c>
      <c r="E58">
        <v>0.02</v>
      </c>
      <c r="F58">
        <v>0.03</v>
      </c>
      <c r="G58">
        <v>0.02</v>
      </c>
      <c r="H58" s="2" t="s">
        <v>318</v>
      </c>
      <c r="I58" s="2" t="s">
        <v>319</v>
      </c>
      <c r="J58">
        <v>858</v>
      </c>
      <c r="K58">
        <v>0.84379999999999999</v>
      </c>
    </row>
    <row r="59" spans="1:11" x14ac:dyDescent="0.3">
      <c r="A59" s="2" t="s">
        <v>320</v>
      </c>
      <c r="B59" s="2" t="s">
        <v>321</v>
      </c>
      <c r="C59">
        <v>165</v>
      </c>
      <c r="D59">
        <v>30.16</v>
      </c>
      <c r="E59">
        <v>29.55</v>
      </c>
      <c r="F59">
        <v>29.75</v>
      </c>
      <c r="G59">
        <v>0</v>
      </c>
      <c r="H59" s="2" t="s">
        <v>27</v>
      </c>
      <c r="I59" s="2" t="s">
        <v>29</v>
      </c>
      <c r="J59">
        <v>764</v>
      </c>
      <c r="K59">
        <v>0.66410000000000002</v>
      </c>
    </row>
    <row r="60" spans="1:11" x14ac:dyDescent="0.3">
      <c r="A60" s="2" t="s">
        <v>322</v>
      </c>
      <c r="B60" s="2" t="s">
        <v>323</v>
      </c>
      <c r="C60">
        <v>147</v>
      </c>
      <c r="D60">
        <v>11.8</v>
      </c>
      <c r="E60">
        <v>11.6</v>
      </c>
      <c r="F60">
        <v>11.8</v>
      </c>
      <c r="G60">
        <v>0.8</v>
      </c>
      <c r="H60" s="2" t="s">
        <v>324</v>
      </c>
      <c r="I60" s="2" t="s">
        <v>28</v>
      </c>
      <c r="J60">
        <v>753</v>
      </c>
      <c r="K60">
        <v>0.44040000000000001</v>
      </c>
    </row>
    <row r="61" spans="1:11" x14ac:dyDescent="0.3">
      <c r="A61" s="2" t="s">
        <v>325</v>
      </c>
      <c r="B61" s="2" t="s">
        <v>326</v>
      </c>
      <c r="C61">
        <v>101</v>
      </c>
      <c r="D61">
        <v>0.02</v>
      </c>
      <c r="E61">
        <v>0.01</v>
      </c>
      <c r="F61">
        <v>0.02</v>
      </c>
      <c r="G61">
        <v>-0.01</v>
      </c>
      <c r="H61" s="2" t="s">
        <v>159</v>
      </c>
      <c r="I61" s="2" t="s">
        <v>327</v>
      </c>
      <c r="J61">
        <v>620</v>
      </c>
      <c r="K61">
        <v>0.9375</v>
      </c>
    </row>
    <row r="62" spans="1:11" x14ac:dyDescent="0.3">
      <c r="A62" s="2" t="s">
        <v>328</v>
      </c>
      <c r="B62" s="2" t="s">
        <v>329</v>
      </c>
      <c r="C62">
        <v>170</v>
      </c>
      <c r="D62">
        <v>34.950000000000003</v>
      </c>
      <c r="E62">
        <v>34.5</v>
      </c>
      <c r="F62">
        <v>34.700000000000003</v>
      </c>
      <c r="G62">
        <v>0</v>
      </c>
      <c r="H62" s="2" t="s">
        <v>27</v>
      </c>
      <c r="I62" s="2" t="s">
        <v>330</v>
      </c>
      <c r="J62">
        <v>593</v>
      </c>
      <c r="K62">
        <v>0.875</v>
      </c>
    </row>
    <row r="63" spans="1:11" x14ac:dyDescent="0.3">
      <c r="A63" s="2" t="s">
        <v>331</v>
      </c>
      <c r="B63" s="2" t="s">
        <v>332</v>
      </c>
      <c r="C63">
        <v>65</v>
      </c>
      <c r="D63">
        <v>0.01</v>
      </c>
      <c r="E63">
        <v>0</v>
      </c>
      <c r="F63">
        <v>0.01</v>
      </c>
      <c r="G63">
        <v>0</v>
      </c>
      <c r="H63" s="2" t="s">
        <v>27</v>
      </c>
      <c r="I63" s="2" t="s">
        <v>29</v>
      </c>
      <c r="J63">
        <v>515</v>
      </c>
      <c r="K63">
        <v>1.9688000000000001</v>
      </c>
    </row>
    <row r="64" spans="1:11" x14ac:dyDescent="0.3">
      <c r="A64" s="2" t="s">
        <v>333</v>
      </c>
      <c r="B64" s="2" t="s">
        <v>334</v>
      </c>
      <c r="C64">
        <v>146</v>
      </c>
      <c r="D64">
        <v>11.43</v>
      </c>
      <c r="E64">
        <v>10.6</v>
      </c>
      <c r="F64">
        <v>10.8</v>
      </c>
      <c r="G64">
        <v>0</v>
      </c>
      <c r="H64" s="2" t="s">
        <v>27</v>
      </c>
      <c r="I64" s="2" t="s">
        <v>335</v>
      </c>
      <c r="J64">
        <v>413</v>
      </c>
      <c r="K64">
        <v>0.41210000000000002</v>
      </c>
    </row>
    <row r="65" spans="1:11" x14ac:dyDescent="0.3">
      <c r="A65" s="2" t="s">
        <v>336</v>
      </c>
      <c r="B65" s="2" t="s">
        <v>337</v>
      </c>
      <c r="C65">
        <v>149</v>
      </c>
      <c r="D65">
        <v>14.55</v>
      </c>
      <c r="E65">
        <v>13.6</v>
      </c>
      <c r="F65">
        <v>13.8</v>
      </c>
      <c r="G65">
        <v>0.2</v>
      </c>
      <c r="H65" s="2" t="s">
        <v>338</v>
      </c>
      <c r="I65" s="2" t="s">
        <v>31</v>
      </c>
      <c r="J65">
        <v>412</v>
      </c>
      <c r="K65">
        <v>0.49609999999999999</v>
      </c>
    </row>
    <row r="66" spans="1:11" x14ac:dyDescent="0.3">
      <c r="A66" s="2" t="s">
        <v>339</v>
      </c>
      <c r="B66" s="2" t="s">
        <v>340</v>
      </c>
      <c r="C66">
        <v>148</v>
      </c>
      <c r="D66">
        <v>13.48</v>
      </c>
      <c r="E66">
        <v>12.6</v>
      </c>
      <c r="F66">
        <v>12.8</v>
      </c>
      <c r="G66">
        <v>-7.0000000000000007E-2</v>
      </c>
      <c r="H66" s="2" t="s">
        <v>341</v>
      </c>
      <c r="I66" s="2" t="s">
        <v>342</v>
      </c>
      <c r="J66">
        <v>412</v>
      </c>
      <c r="K66">
        <v>0.46879999999999999</v>
      </c>
    </row>
    <row r="67" spans="1:11" x14ac:dyDescent="0.3">
      <c r="A67" s="2" t="s">
        <v>343</v>
      </c>
      <c r="B67" s="2" t="s">
        <v>344</v>
      </c>
      <c r="C67">
        <v>175</v>
      </c>
      <c r="D67">
        <v>40.53</v>
      </c>
      <c r="E67">
        <v>39.25</v>
      </c>
      <c r="F67">
        <v>40</v>
      </c>
      <c r="G67">
        <v>2.68</v>
      </c>
      <c r="H67" s="2" t="s">
        <v>345</v>
      </c>
      <c r="I67" s="2" t="s">
        <v>29</v>
      </c>
      <c r="J67">
        <v>370</v>
      </c>
      <c r="K67">
        <v>1.2578</v>
      </c>
    </row>
    <row r="68" spans="1:11" x14ac:dyDescent="0.3">
      <c r="A68" s="2" t="s">
        <v>346</v>
      </c>
      <c r="B68" s="2" t="s">
        <v>347</v>
      </c>
      <c r="C68">
        <v>152.5</v>
      </c>
      <c r="D68">
        <v>18.05</v>
      </c>
      <c r="E68">
        <v>17.05</v>
      </c>
      <c r="F68">
        <v>17.25</v>
      </c>
      <c r="G68">
        <v>-0.1</v>
      </c>
      <c r="H68" s="2" t="s">
        <v>348</v>
      </c>
      <c r="I68" s="2" t="s">
        <v>29</v>
      </c>
      <c r="J68">
        <v>319</v>
      </c>
      <c r="K68">
        <v>0.55269999999999997</v>
      </c>
    </row>
    <row r="69" spans="1:11" x14ac:dyDescent="0.3">
      <c r="A69" s="2" t="s">
        <v>349</v>
      </c>
      <c r="B69" s="2" t="s">
        <v>350</v>
      </c>
      <c r="C69">
        <v>104</v>
      </c>
      <c r="D69">
        <v>0.03</v>
      </c>
      <c r="E69">
        <v>0.02</v>
      </c>
      <c r="F69">
        <v>0.03</v>
      </c>
      <c r="G69">
        <v>0.01</v>
      </c>
      <c r="H69" s="2" t="s">
        <v>156</v>
      </c>
      <c r="I69" s="2" t="s">
        <v>351</v>
      </c>
      <c r="J69">
        <v>305</v>
      </c>
      <c r="K69">
        <v>0.89839999999999998</v>
      </c>
    </row>
    <row r="70" spans="1:11" x14ac:dyDescent="0.3">
      <c r="A70" s="2" t="s">
        <v>352</v>
      </c>
      <c r="B70" s="2" t="s">
        <v>353</v>
      </c>
      <c r="C70">
        <v>157.5</v>
      </c>
      <c r="D70">
        <v>23.25</v>
      </c>
      <c r="E70">
        <v>22.05</v>
      </c>
      <c r="F70">
        <v>22.25</v>
      </c>
      <c r="G70">
        <v>1.2</v>
      </c>
      <c r="H70" s="2" t="s">
        <v>354</v>
      </c>
      <c r="I70" s="2" t="s">
        <v>351</v>
      </c>
      <c r="J70">
        <v>290</v>
      </c>
      <c r="K70">
        <v>0.52339999999999998</v>
      </c>
    </row>
    <row r="71" spans="1:11" x14ac:dyDescent="0.3">
      <c r="A71" s="2" t="s">
        <v>355</v>
      </c>
      <c r="B71" s="2" t="s">
        <v>356</v>
      </c>
      <c r="C71">
        <v>200</v>
      </c>
      <c r="D71">
        <v>64.83</v>
      </c>
      <c r="E71">
        <v>64.55</v>
      </c>
      <c r="F71">
        <v>64.75</v>
      </c>
      <c r="G71">
        <v>0</v>
      </c>
      <c r="H71" s="2" t="s">
        <v>27</v>
      </c>
      <c r="I71" s="2" t="s">
        <v>351</v>
      </c>
      <c r="J71">
        <v>159</v>
      </c>
      <c r="K71">
        <v>1.2031000000000001</v>
      </c>
    </row>
    <row r="72" spans="1:11" x14ac:dyDescent="0.3">
      <c r="A72" s="2" t="s">
        <v>357</v>
      </c>
      <c r="B72" s="2" t="s">
        <v>358</v>
      </c>
      <c r="C72">
        <v>35</v>
      </c>
      <c r="D72">
        <v>0.01</v>
      </c>
      <c r="E72">
        <v>0</v>
      </c>
      <c r="F72">
        <v>0.01</v>
      </c>
      <c r="G72">
        <v>0</v>
      </c>
      <c r="H72" s="2" t="s">
        <v>27</v>
      </c>
      <c r="I72" s="2" t="s">
        <v>28</v>
      </c>
      <c r="J72">
        <v>130</v>
      </c>
      <c r="K72">
        <v>3.625</v>
      </c>
    </row>
    <row r="73" spans="1:11" x14ac:dyDescent="0.3">
      <c r="A73" s="2" t="s">
        <v>359</v>
      </c>
      <c r="B73" s="2" t="s">
        <v>360</v>
      </c>
      <c r="C73">
        <v>40</v>
      </c>
      <c r="D73">
        <v>0.01</v>
      </c>
      <c r="E73">
        <v>0</v>
      </c>
      <c r="F73">
        <v>0.01</v>
      </c>
      <c r="G73">
        <v>0</v>
      </c>
      <c r="H73" s="2" t="s">
        <v>27</v>
      </c>
      <c r="I73" s="2" t="s">
        <v>36</v>
      </c>
      <c r="J73">
        <v>105</v>
      </c>
      <c r="K73">
        <v>3.25</v>
      </c>
    </row>
    <row r="74" spans="1:11" x14ac:dyDescent="0.3">
      <c r="A74" s="2" t="s">
        <v>361</v>
      </c>
      <c r="B74" s="2" t="s">
        <v>362</v>
      </c>
      <c r="C74">
        <v>25</v>
      </c>
      <c r="D74">
        <v>0.01</v>
      </c>
      <c r="E74">
        <v>0</v>
      </c>
      <c r="F74">
        <v>0.01</v>
      </c>
      <c r="G74">
        <v>0</v>
      </c>
      <c r="H74" s="2" t="s">
        <v>27</v>
      </c>
      <c r="I74" s="2" t="s">
        <v>29</v>
      </c>
      <c r="J74">
        <v>43</v>
      </c>
      <c r="K74">
        <v>4.5</v>
      </c>
    </row>
    <row r="75" spans="1:11" x14ac:dyDescent="0.3">
      <c r="A75" s="2" t="s">
        <v>363</v>
      </c>
      <c r="B75" s="2" t="s">
        <v>364</v>
      </c>
      <c r="C75">
        <v>230</v>
      </c>
      <c r="D75">
        <v>93.45</v>
      </c>
      <c r="E75">
        <v>94.25</v>
      </c>
      <c r="F75">
        <v>95</v>
      </c>
      <c r="G75">
        <v>0</v>
      </c>
      <c r="H75" s="2" t="s">
        <v>27</v>
      </c>
      <c r="I75" s="2" t="s">
        <v>179</v>
      </c>
      <c r="J75">
        <v>20</v>
      </c>
      <c r="K75">
        <v>2.2422</v>
      </c>
    </row>
    <row r="76" spans="1:11" x14ac:dyDescent="0.3">
      <c r="A76" s="2" t="s">
        <v>365</v>
      </c>
      <c r="B76" s="2" t="s">
        <v>366</v>
      </c>
      <c r="C76">
        <v>180</v>
      </c>
      <c r="D76">
        <v>43.95</v>
      </c>
      <c r="E76">
        <v>44.25</v>
      </c>
      <c r="F76">
        <v>45</v>
      </c>
      <c r="G76">
        <v>0</v>
      </c>
      <c r="H76" s="2" t="s">
        <v>27</v>
      </c>
      <c r="I76" s="2" t="s">
        <v>224</v>
      </c>
      <c r="J76">
        <v>14</v>
      </c>
      <c r="K76">
        <v>1.3652</v>
      </c>
    </row>
    <row r="77" spans="1:11" x14ac:dyDescent="0.3">
      <c r="A77" s="2" t="s">
        <v>367</v>
      </c>
      <c r="B77" s="2" t="s">
        <v>368</v>
      </c>
      <c r="C77">
        <v>30</v>
      </c>
      <c r="D77">
        <v>0.01</v>
      </c>
      <c r="E77">
        <v>0</v>
      </c>
      <c r="F77">
        <v>0.01</v>
      </c>
      <c r="G77">
        <v>0</v>
      </c>
      <c r="H77" s="2" t="s">
        <v>27</v>
      </c>
      <c r="I77" s="2" t="s">
        <v>369</v>
      </c>
      <c r="J77">
        <v>10</v>
      </c>
      <c r="K77">
        <v>3.9375</v>
      </c>
    </row>
    <row r="78" spans="1:11" x14ac:dyDescent="0.3">
      <c r="A78" s="2" t="s">
        <v>370</v>
      </c>
      <c r="B78" s="2" t="s">
        <v>371</v>
      </c>
      <c r="C78">
        <v>185</v>
      </c>
      <c r="D78">
        <v>50.3</v>
      </c>
      <c r="E78">
        <v>49.5</v>
      </c>
      <c r="F78">
        <v>49.7</v>
      </c>
      <c r="G78">
        <v>0</v>
      </c>
      <c r="H78" s="2" t="s">
        <v>27</v>
      </c>
      <c r="I78" s="2" t="s">
        <v>372</v>
      </c>
      <c r="J78">
        <v>4</v>
      </c>
      <c r="K78">
        <v>1.1445000000000001</v>
      </c>
    </row>
    <row r="79" spans="1:11" x14ac:dyDescent="0.3">
      <c r="A79" s="2" t="s">
        <v>373</v>
      </c>
      <c r="B79" s="2" t="s">
        <v>374</v>
      </c>
      <c r="C79">
        <v>205</v>
      </c>
      <c r="D79">
        <v>67.900000000000006</v>
      </c>
      <c r="E79">
        <v>68.05</v>
      </c>
      <c r="F79">
        <v>68.75</v>
      </c>
      <c r="G79">
        <v>0</v>
      </c>
      <c r="H79" s="2" t="s">
        <v>27</v>
      </c>
      <c r="I79" s="2" t="s">
        <v>27</v>
      </c>
      <c r="J79">
        <v>2</v>
      </c>
      <c r="K79">
        <v>0</v>
      </c>
    </row>
    <row r="80" spans="1:11" x14ac:dyDescent="0.3">
      <c r="A80" s="2" t="s">
        <v>375</v>
      </c>
      <c r="B80" s="2" t="s">
        <v>376</v>
      </c>
      <c r="C80">
        <v>195</v>
      </c>
      <c r="D80">
        <v>58.56</v>
      </c>
      <c r="E80">
        <v>59.55</v>
      </c>
      <c r="F80">
        <v>59.75</v>
      </c>
      <c r="G80">
        <v>0</v>
      </c>
      <c r="H80" s="2" t="s">
        <v>27</v>
      </c>
      <c r="I80" s="2" t="s">
        <v>29</v>
      </c>
      <c r="J80">
        <v>2</v>
      </c>
      <c r="K80">
        <v>1.1406000000000001</v>
      </c>
    </row>
    <row r="81" spans="1:11" x14ac:dyDescent="0.3">
      <c r="A81" s="2" t="s">
        <v>377</v>
      </c>
      <c r="B81" s="2" t="s">
        <v>378</v>
      </c>
      <c r="C81">
        <v>220</v>
      </c>
      <c r="D81">
        <v>87.6</v>
      </c>
      <c r="E81">
        <v>84.5</v>
      </c>
      <c r="F81">
        <v>84.7</v>
      </c>
      <c r="G81">
        <v>0</v>
      </c>
      <c r="H81" s="2" t="s">
        <v>27</v>
      </c>
      <c r="I81" s="2" t="s">
        <v>209</v>
      </c>
      <c r="J81">
        <v>1</v>
      </c>
      <c r="K81">
        <v>1.6679999999999999</v>
      </c>
    </row>
    <row r="82" spans="1:11" x14ac:dyDescent="0.3">
      <c r="A82" s="2" t="s">
        <v>379</v>
      </c>
      <c r="B82" s="2" t="s">
        <v>380</v>
      </c>
      <c r="C82">
        <v>215</v>
      </c>
      <c r="D82">
        <v>79.17</v>
      </c>
      <c r="E82">
        <v>79.25</v>
      </c>
      <c r="F82">
        <v>80</v>
      </c>
      <c r="G82">
        <v>0</v>
      </c>
      <c r="H82" s="2" t="s">
        <v>27</v>
      </c>
      <c r="I82" s="2" t="s">
        <v>29</v>
      </c>
      <c r="J82">
        <v>0</v>
      </c>
      <c r="K82">
        <v>2.0097999999999998</v>
      </c>
    </row>
    <row r="83" spans="1:11" x14ac:dyDescent="0.3">
      <c r="A83" s="2" t="s">
        <v>381</v>
      </c>
      <c r="B83" s="2" t="s">
        <v>382</v>
      </c>
      <c r="C83">
        <v>225</v>
      </c>
      <c r="D83">
        <v>95.6</v>
      </c>
      <c r="E83">
        <v>89.55</v>
      </c>
      <c r="F83">
        <v>89.75</v>
      </c>
      <c r="G83">
        <v>0</v>
      </c>
      <c r="H83" s="2" t="s">
        <v>27</v>
      </c>
      <c r="I83" s="2" t="s">
        <v>27</v>
      </c>
      <c r="J83">
        <v>0</v>
      </c>
      <c r="K83">
        <v>1.5313000000000001</v>
      </c>
    </row>
    <row r="84" spans="1:11" x14ac:dyDescent="0.3">
      <c r="A84" s="2" t="s">
        <v>383</v>
      </c>
      <c r="B84" s="2" t="s">
        <v>380</v>
      </c>
      <c r="C84">
        <v>210</v>
      </c>
      <c r="D84">
        <v>74.2</v>
      </c>
      <c r="E84">
        <v>74.5</v>
      </c>
      <c r="F84">
        <v>74.7</v>
      </c>
      <c r="G84">
        <v>0</v>
      </c>
      <c r="H84" s="2" t="s">
        <v>27</v>
      </c>
      <c r="I84" s="2" t="s">
        <v>29</v>
      </c>
      <c r="J84">
        <v>0</v>
      </c>
      <c r="K84">
        <v>1.5313000000000001</v>
      </c>
    </row>
    <row r="85" spans="1:11" x14ac:dyDescent="0.3">
      <c r="A85" s="2" t="s">
        <v>384</v>
      </c>
      <c r="B85" s="2" t="s">
        <v>356</v>
      </c>
      <c r="C85">
        <v>190</v>
      </c>
      <c r="D85">
        <v>54.81</v>
      </c>
      <c r="E85">
        <v>54.5</v>
      </c>
      <c r="F85">
        <v>54.7</v>
      </c>
      <c r="G85">
        <v>0</v>
      </c>
      <c r="H85" s="2" t="s">
        <v>27</v>
      </c>
      <c r="I85" s="2" t="s">
        <v>351</v>
      </c>
      <c r="J85">
        <v>0</v>
      </c>
      <c r="K85">
        <v>1.2265999999999999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BAE8C-F1EE-4D14-851B-2FF8FA91E62C}">
  <sheetPr codeName="Sheet9">
    <tabColor theme="7" tint="0.39997558519241921"/>
  </sheetPr>
  <dimension ref="A1:I202"/>
  <sheetViews>
    <sheetView workbookViewId="0"/>
  </sheetViews>
  <sheetFormatPr defaultRowHeight="14.4" x14ac:dyDescent="0.3"/>
  <cols>
    <col min="6" max="6" width="13" customWidth="1"/>
  </cols>
  <sheetData>
    <row r="1" spans="1:9" x14ac:dyDescent="0.3">
      <c r="A1" t="s">
        <v>78</v>
      </c>
      <c r="B1" s="31">
        <f>'Trading Dashboard'!AB7</f>
        <v>135.37</v>
      </c>
      <c r="D1" t="s">
        <v>85</v>
      </c>
      <c r="E1" t="s">
        <v>83</v>
      </c>
      <c r="F1" t="s">
        <v>84</v>
      </c>
      <c r="G1" t="s">
        <v>86</v>
      </c>
      <c r="H1" t="s">
        <v>89</v>
      </c>
    </row>
    <row r="2" spans="1:9" x14ac:dyDescent="0.3">
      <c r="A2" t="s">
        <v>19</v>
      </c>
      <c r="B2" s="31">
        <f>'Trading Dashboard'!K8</f>
        <v>135</v>
      </c>
      <c r="D2">
        <v>-100</v>
      </c>
      <c r="E2" s="19">
        <f t="shared" ref="E2:E65" si="0">$B$1+D2*$B$7</f>
        <v>125.32811489324135</v>
      </c>
      <c r="F2" s="68">
        <f>IF($B$4="CALL",MAX(E2-$B$2,0)-$B$3,MAX($B$2-E2,0)-$B$3)*$B$9</f>
        <v>-280</v>
      </c>
      <c r="G2" s="11">
        <f>F2/$B$10</f>
        <v>-1</v>
      </c>
      <c r="H2" s="31">
        <f>$B$1</f>
        <v>135.37</v>
      </c>
      <c r="I2" s="18"/>
    </row>
    <row r="3" spans="1:9" x14ac:dyDescent="0.3">
      <c r="A3" t="s">
        <v>79</v>
      </c>
      <c r="B3" s="31">
        <f>'Trading Dashboard'!K12</f>
        <v>2.8</v>
      </c>
      <c r="D3">
        <v>-99</v>
      </c>
      <c r="E3" s="19">
        <f t="shared" si="0"/>
        <v>125.42853374430894</v>
      </c>
      <c r="F3" s="68">
        <f t="shared" ref="F3:F66" si="1">IF($B$4="CALL",MAX(E3-$B$2,0)-$B$3,MAX($B$2-E3,0)-$B$3)*$B$9</f>
        <v>-280</v>
      </c>
      <c r="G3" s="11">
        <f t="shared" ref="G3:G66" si="2">F3/$B$10</f>
        <v>-1</v>
      </c>
      <c r="H3" s="31">
        <f t="shared" ref="H3:H66" si="3">$B$1</f>
        <v>135.37</v>
      </c>
    </row>
    <row r="4" spans="1:9" x14ac:dyDescent="0.3">
      <c r="A4" t="s">
        <v>44</v>
      </c>
      <c r="B4" t="str">
        <f>'Trading Dashboard'!K7</f>
        <v>CALL</v>
      </c>
      <c r="D4">
        <v>-98</v>
      </c>
      <c r="E4" s="19">
        <f t="shared" si="0"/>
        <v>125.52895259537652</v>
      </c>
      <c r="F4" s="68">
        <f t="shared" si="1"/>
        <v>-280</v>
      </c>
      <c r="G4" s="11">
        <f t="shared" si="2"/>
        <v>-1</v>
      </c>
      <c r="H4" s="31">
        <f t="shared" si="3"/>
        <v>135.37</v>
      </c>
    </row>
    <row r="5" spans="1:9" x14ac:dyDescent="0.3">
      <c r="A5" t="s">
        <v>81</v>
      </c>
      <c r="B5" s="12">
        <f>MAX(-1,-'Trading Dashboard'!AB9*4/SQRT(252))</f>
        <v>-7.418102317174155E-2</v>
      </c>
      <c r="C5" s="31"/>
      <c r="D5">
        <v>-97</v>
      </c>
      <c r="E5" s="19">
        <f t="shared" si="0"/>
        <v>125.62937144644411</v>
      </c>
      <c r="F5" s="68">
        <f t="shared" si="1"/>
        <v>-280</v>
      </c>
      <c r="G5" s="11">
        <f t="shared" si="2"/>
        <v>-1</v>
      </c>
      <c r="H5" s="31">
        <f t="shared" si="3"/>
        <v>135.37</v>
      </c>
    </row>
    <row r="6" spans="1:9" x14ac:dyDescent="0.3">
      <c r="A6" t="s">
        <v>82</v>
      </c>
      <c r="B6" s="31">
        <f>B1*(1+B5)</f>
        <v>125.32811489324135</v>
      </c>
      <c r="D6">
        <v>-96</v>
      </c>
      <c r="E6" s="19">
        <f t="shared" si="0"/>
        <v>125.7297902975117</v>
      </c>
      <c r="F6" s="68">
        <f t="shared" si="1"/>
        <v>-280</v>
      </c>
      <c r="G6" s="11">
        <f t="shared" si="2"/>
        <v>-1</v>
      </c>
      <c r="H6" s="31">
        <f t="shared" si="3"/>
        <v>135.37</v>
      </c>
    </row>
    <row r="7" spans="1:9" x14ac:dyDescent="0.3">
      <c r="A7" t="s">
        <v>80</v>
      </c>
      <c r="B7" s="31">
        <f>(B1-B6)/100</f>
        <v>0.10041885106758656</v>
      </c>
      <c r="D7">
        <v>-95</v>
      </c>
      <c r="E7" s="19">
        <f t="shared" si="0"/>
        <v>125.83020914857929</v>
      </c>
      <c r="F7" s="68">
        <f t="shared" si="1"/>
        <v>-280</v>
      </c>
      <c r="G7" s="11">
        <f t="shared" si="2"/>
        <v>-1</v>
      </c>
      <c r="H7" s="31">
        <f t="shared" si="3"/>
        <v>135.37</v>
      </c>
    </row>
    <row r="8" spans="1:9" x14ac:dyDescent="0.3">
      <c r="A8" t="s">
        <v>87</v>
      </c>
      <c r="B8" t="str">
        <f>IF(B1=B2,"ATM",IF(B1&gt;B2,IF(B4="CALL","ITM","OTM"),IF(B4="CALL","OTM","ITM")))</f>
        <v>ITM</v>
      </c>
      <c r="D8">
        <v>-94</v>
      </c>
      <c r="E8" s="19">
        <f t="shared" si="0"/>
        <v>125.93062799964687</v>
      </c>
      <c r="F8" s="68">
        <f t="shared" si="1"/>
        <v>-280</v>
      </c>
      <c r="G8" s="11">
        <f t="shared" si="2"/>
        <v>-1</v>
      </c>
      <c r="H8" s="31">
        <f t="shared" si="3"/>
        <v>135.37</v>
      </c>
    </row>
    <row r="9" spans="1:9" x14ac:dyDescent="0.3">
      <c r="A9" t="s">
        <v>45</v>
      </c>
      <c r="B9" s="32">
        <f>'Trading Dashboard'!K10</f>
        <v>100</v>
      </c>
      <c r="D9">
        <v>-93</v>
      </c>
      <c r="E9" s="19">
        <f t="shared" si="0"/>
        <v>126.03104685071446</v>
      </c>
      <c r="F9" s="68">
        <f t="shared" si="1"/>
        <v>-280</v>
      </c>
      <c r="G9" s="11">
        <f t="shared" si="2"/>
        <v>-1</v>
      </c>
      <c r="H9" s="31">
        <f t="shared" si="3"/>
        <v>135.37</v>
      </c>
    </row>
    <row r="10" spans="1:9" x14ac:dyDescent="0.3">
      <c r="A10" t="s">
        <v>88</v>
      </c>
      <c r="B10" s="31">
        <f>B9*B3</f>
        <v>280</v>
      </c>
      <c r="D10">
        <v>-92</v>
      </c>
      <c r="E10" s="19">
        <f t="shared" si="0"/>
        <v>126.13146570178205</v>
      </c>
      <c r="F10" s="68">
        <f t="shared" si="1"/>
        <v>-280</v>
      </c>
      <c r="G10" s="11">
        <f t="shared" si="2"/>
        <v>-1</v>
      </c>
      <c r="H10" s="31">
        <f t="shared" si="3"/>
        <v>135.37</v>
      </c>
    </row>
    <row r="11" spans="1:9" x14ac:dyDescent="0.3">
      <c r="D11">
        <v>-91</v>
      </c>
      <c r="E11" s="19">
        <f t="shared" si="0"/>
        <v>126.23188455284962</v>
      </c>
      <c r="F11" s="68">
        <f t="shared" si="1"/>
        <v>-280</v>
      </c>
      <c r="G11" s="11">
        <f t="shared" si="2"/>
        <v>-1</v>
      </c>
      <c r="H11" s="31">
        <f t="shared" si="3"/>
        <v>135.37</v>
      </c>
    </row>
    <row r="12" spans="1:9" x14ac:dyDescent="0.3">
      <c r="D12">
        <v>-90</v>
      </c>
      <c r="E12" s="19">
        <f t="shared" si="0"/>
        <v>126.33230340391721</v>
      </c>
      <c r="F12" s="68">
        <f t="shared" si="1"/>
        <v>-280</v>
      </c>
      <c r="G12" s="11">
        <f t="shared" si="2"/>
        <v>-1</v>
      </c>
      <c r="H12" s="31">
        <f t="shared" si="3"/>
        <v>135.37</v>
      </c>
    </row>
    <row r="13" spans="1:9" x14ac:dyDescent="0.3">
      <c r="D13">
        <v>-89</v>
      </c>
      <c r="E13" s="19">
        <f t="shared" si="0"/>
        <v>126.4327222549848</v>
      </c>
      <c r="F13" s="68">
        <f t="shared" si="1"/>
        <v>-280</v>
      </c>
      <c r="G13" s="11">
        <f t="shared" si="2"/>
        <v>-1</v>
      </c>
      <c r="H13" s="31">
        <f t="shared" si="3"/>
        <v>135.37</v>
      </c>
    </row>
    <row r="14" spans="1:9" x14ac:dyDescent="0.3">
      <c r="D14">
        <v>-88</v>
      </c>
      <c r="E14" s="19">
        <f t="shared" si="0"/>
        <v>126.53314110605238</v>
      </c>
      <c r="F14" s="68">
        <f t="shared" si="1"/>
        <v>-280</v>
      </c>
      <c r="G14" s="11">
        <f t="shared" si="2"/>
        <v>-1</v>
      </c>
      <c r="H14" s="31">
        <f t="shared" si="3"/>
        <v>135.37</v>
      </c>
    </row>
    <row r="15" spans="1:9" x14ac:dyDescent="0.3">
      <c r="D15">
        <v>-87</v>
      </c>
      <c r="E15" s="19">
        <f t="shared" si="0"/>
        <v>126.63355995711997</v>
      </c>
      <c r="F15" s="68">
        <f t="shared" si="1"/>
        <v>-280</v>
      </c>
      <c r="G15" s="11">
        <f t="shared" si="2"/>
        <v>-1</v>
      </c>
      <c r="H15" s="31">
        <f t="shared" si="3"/>
        <v>135.37</v>
      </c>
    </row>
    <row r="16" spans="1:9" x14ac:dyDescent="0.3">
      <c r="D16">
        <v>-86</v>
      </c>
      <c r="E16" s="19">
        <f t="shared" si="0"/>
        <v>126.73397880818756</v>
      </c>
      <c r="F16" s="68">
        <f t="shared" si="1"/>
        <v>-280</v>
      </c>
      <c r="G16" s="11">
        <f t="shared" si="2"/>
        <v>-1</v>
      </c>
      <c r="H16" s="31">
        <f t="shared" si="3"/>
        <v>135.37</v>
      </c>
    </row>
    <row r="17" spans="4:8" x14ac:dyDescent="0.3">
      <c r="D17">
        <v>-85</v>
      </c>
      <c r="E17" s="19">
        <f t="shared" si="0"/>
        <v>126.83439765925515</v>
      </c>
      <c r="F17" s="68">
        <f t="shared" si="1"/>
        <v>-280</v>
      </c>
      <c r="G17" s="11">
        <f t="shared" si="2"/>
        <v>-1</v>
      </c>
      <c r="H17" s="31">
        <f t="shared" si="3"/>
        <v>135.37</v>
      </c>
    </row>
    <row r="18" spans="4:8" x14ac:dyDescent="0.3">
      <c r="D18">
        <v>-84</v>
      </c>
      <c r="E18" s="19">
        <f t="shared" si="0"/>
        <v>126.93481651032273</v>
      </c>
      <c r="F18" s="68">
        <f t="shared" si="1"/>
        <v>-280</v>
      </c>
      <c r="G18" s="11">
        <f t="shared" si="2"/>
        <v>-1</v>
      </c>
      <c r="H18" s="31">
        <f t="shared" si="3"/>
        <v>135.37</v>
      </c>
    </row>
    <row r="19" spans="4:8" x14ac:dyDescent="0.3">
      <c r="D19">
        <v>-83</v>
      </c>
      <c r="E19" s="19">
        <f t="shared" si="0"/>
        <v>127.03523536139032</v>
      </c>
      <c r="F19" s="68">
        <f t="shared" si="1"/>
        <v>-280</v>
      </c>
      <c r="G19" s="11">
        <f t="shared" si="2"/>
        <v>-1</v>
      </c>
      <c r="H19" s="31">
        <f t="shared" si="3"/>
        <v>135.37</v>
      </c>
    </row>
    <row r="20" spans="4:8" x14ac:dyDescent="0.3">
      <c r="D20">
        <v>-82</v>
      </c>
      <c r="E20" s="19">
        <f t="shared" si="0"/>
        <v>127.13565421245791</v>
      </c>
      <c r="F20" s="68">
        <f t="shared" si="1"/>
        <v>-280</v>
      </c>
      <c r="G20" s="11">
        <f t="shared" si="2"/>
        <v>-1</v>
      </c>
      <c r="H20" s="31">
        <f t="shared" si="3"/>
        <v>135.37</v>
      </c>
    </row>
    <row r="21" spans="4:8" x14ac:dyDescent="0.3">
      <c r="D21">
        <v>-81</v>
      </c>
      <c r="E21" s="19">
        <f t="shared" si="0"/>
        <v>127.2360730635255</v>
      </c>
      <c r="F21" s="68">
        <f t="shared" si="1"/>
        <v>-280</v>
      </c>
      <c r="G21" s="11">
        <f t="shared" si="2"/>
        <v>-1</v>
      </c>
      <c r="H21" s="31">
        <f t="shared" si="3"/>
        <v>135.37</v>
      </c>
    </row>
    <row r="22" spans="4:8" x14ac:dyDescent="0.3">
      <c r="D22">
        <v>-80</v>
      </c>
      <c r="E22" s="19">
        <f t="shared" si="0"/>
        <v>127.33649191459308</v>
      </c>
      <c r="F22" s="68">
        <f t="shared" si="1"/>
        <v>-280</v>
      </c>
      <c r="G22" s="11">
        <f t="shared" si="2"/>
        <v>-1</v>
      </c>
      <c r="H22" s="31">
        <f t="shared" si="3"/>
        <v>135.37</v>
      </c>
    </row>
    <row r="23" spans="4:8" x14ac:dyDescent="0.3">
      <c r="D23">
        <v>-79</v>
      </c>
      <c r="E23" s="19">
        <f t="shared" si="0"/>
        <v>127.43691076566067</v>
      </c>
      <c r="F23" s="68">
        <f t="shared" si="1"/>
        <v>-280</v>
      </c>
      <c r="G23" s="11">
        <f t="shared" si="2"/>
        <v>-1</v>
      </c>
      <c r="H23" s="31">
        <f t="shared" si="3"/>
        <v>135.37</v>
      </c>
    </row>
    <row r="24" spans="4:8" x14ac:dyDescent="0.3">
      <c r="D24">
        <v>-78</v>
      </c>
      <c r="E24" s="19">
        <f t="shared" si="0"/>
        <v>127.53732961672826</v>
      </c>
      <c r="F24" s="68">
        <f t="shared" si="1"/>
        <v>-280</v>
      </c>
      <c r="G24" s="11">
        <f t="shared" si="2"/>
        <v>-1</v>
      </c>
      <c r="H24" s="31">
        <f t="shared" si="3"/>
        <v>135.37</v>
      </c>
    </row>
    <row r="25" spans="4:8" x14ac:dyDescent="0.3">
      <c r="D25">
        <v>-77</v>
      </c>
      <c r="E25" s="19">
        <f t="shared" si="0"/>
        <v>127.63774846779584</v>
      </c>
      <c r="F25" s="68">
        <f t="shared" si="1"/>
        <v>-280</v>
      </c>
      <c r="G25" s="11">
        <f t="shared" si="2"/>
        <v>-1</v>
      </c>
      <c r="H25" s="31">
        <f t="shared" si="3"/>
        <v>135.37</v>
      </c>
    </row>
    <row r="26" spans="4:8" x14ac:dyDescent="0.3">
      <c r="D26">
        <v>-76</v>
      </c>
      <c r="E26" s="19">
        <f t="shared" si="0"/>
        <v>127.73816731886342</v>
      </c>
      <c r="F26" s="68">
        <f t="shared" si="1"/>
        <v>-280</v>
      </c>
      <c r="G26" s="11">
        <f t="shared" si="2"/>
        <v>-1</v>
      </c>
      <c r="H26" s="31">
        <f t="shared" si="3"/>
        <v>135.37</v>
      </c>
    </row>
    <row r="27" spans="4:8" x14ac:dyDescent="0.3">
      <c r="D27">
        <v>-75</v>
      </c>
      <c r="E27" s="19">
        <f t="shared" si="0"/>
        <v>127.83858616993101</v>
      </c>
      <c r="F27" s="68">
        <f t="shared" si="1"/>
        <v>-280</v>
      </c>
      <c r="G27" s="11">
        <f t="shared" si="2"/>
        <v>-1</v>
      </c>
      <c r="H27" s="31">
        <f t="shared" si="3"/>
        <v>135.37</v>
      </c>
    </row>
    <row r="28" spans="4:8" x14ac:dyDescent="0.3">
      <c r="D28">
        <v>-74</v>
      </c>
      <c r="E28" s="19">
        <f t="shared" si="0"/>
        <v>127.93900502099859</v>
      </c>
      <c r="F28" s="68">
        <f t="shared" si="1"/>
        <v>-280</v>
      </c>
      <c r="G28" s="11">
        <f t="shared" si="2"/>
        <v>-1</v>
      </c>
      <c r="H28" s="31">
        <f t="shared" si="3"/>
        <v>135.37</v>
      </c>
    </row>
    <row r="29" spans="4:8" x14ac:dyDescent="0.3">
      <c r="D29">
        <v>-73</v>
      </c>
      <c r="E29" s="19">
        <f t="shared" si="0"/>
        <v>128.03942387206618</v>
      </c>
      <c r="F29" s="68">
        <f t="shared" si="1"/>
        <v>-280</v>
      </c>
      <c r="G29" s="11">
        <f t="shared" si="2"/>
        <v>-1</v>
      </c>
      <c r="H29" s="31">
        <f t="shared" si="3"/>
        <v>135.37</v>
      </c>
    </row>
    <row r="30" spans="4:8" x14ac:dyDescent="0.3">
      <c r="D30">
        <v>-72</v>
      </c>
      <c r="E30" s="19">
        <f t="shared" si="0"/>
        <v>128.13984272313377</v>
      </c>
      <c r="F30" s="68">
        <f t="shared" si="1"/>
        <v>-280</v>
      </c>
      <c r="G30" s="11">
        <f t="shared" si="2"/>
        <v>-1</v>
      </c>
      <c r="H30" s="31">
        <f t="shared" si="3"/>
        <v>135.37</v>
      </c>
    </row>
    <row r="31" spans="4:8" x14ac:dyDescent="0.3">
      <c r="D31">
        <v>-71</v>
      </c>
      <c r="E31" s="19">
        <f t="shared" si="0"/>
        <v>128.24026157420136</v>
      </c>
      <c r="F31" s="68">
        <f t="shared" si="1"/>
        <v>-280</v>
      </c>
      <c r="G31" s="11">
        <f t="shared" si="2"/>
        <v>-1</v>
      </c>
      <c r="H31" s="31">
        <f t="shared" si="3"/>
        <v>135.37</v>
      </c>
    </row>
    <row r="32" spans="4:8" x14ac:dyDescent="0.3">
      <c r="D32">
        <v>-70</v>
      </c>
      <c r="E32" s="19">
        <f t="shared" si="0"/>
        <v>128.34068042526894</v>
      </c>
      <c r="F32" s="68">
        <f t="shared" si="1"/>
        <v>-280</v>
      </c>
      <c r="G32" s="11">
        <f t="shared" si="2"/>
        <v>-1</v>
      </c>
      <c r="H32" s="31">
        <f t="shared" si="3"/>
        <v>135.37</v>
      </c>
    </row>
    <row r="33" spans="4:8" x14ac:dyDescent="0.3">
      <c r="D33">
        <v>-69</v>
      </c>
      <c r="E33" s="19">
        <f t="shared" si="0"/>
        <v>128.44109927633653</v>
      </c>
      <c r="F33" s="68">
        <f t="shared" si="1"/>
        <v>-280</v>
      </c>
      <c r="G33" s="11">
        <f t="shared" si="2"/>
        <v>-1</v>
      </c>
      <c r="H33" s="31">
        <f t="shared" si="3"/>
        <v>135.37</v>
      </c>
    </row>
    <row r="34" spans="4:8" x14ac:dyDescent="0.3">
      <c r="D34">
        <v>-68</v>
      </c>
      <c r="E34" s="19">
        <f t="shared" si="0"/>
        <v>128.54151812740412</v>
      </c>
      <c r="F34" s="68">
        <f t="shared" si="1"/>
        <v>-280</v>
      </c>
      <c r="G34" s="11">
        <f t="shared" si="2"/>
        <v>-1</v>
      </c>
      <c r="H34" s="31">
        <f t="shared" si="3"/>
        <v>135.37</v>
      </c>
    </row>
    <row r="35" spans="4:8" x14ac:dyDescent="0.3">
      <c r="D35">
        <v>-67</v>
      </c>
      <c r="E35" s="19">
        <f t="shared" si="0"/>
        <v>128.6419369784717</v>
      </c>
      <c r="F35" s="68">
        <f t="shared" si="1"/>
        <v>-280</v>
      </c>
      <c r="G35" s="11">
        <f t="shared" si="2"/>
        <v>-1</v>
      </c>
      <c r="H35" s="31">
        <f t="shared" si="3"/>
        <v>135.37</v>
      </c>
    </row>
    <row r="36" spans="4:8" x14ac:dyDescent="0.3">
      <c r="D36">
        <v>-66</v>
      </c>
      <c r="E36" s="19">
        <f t="shared" si="0"/>
        <v>128.74235582953929</v>
      </c>
      <c r="F36" s="68">
        <f t="shared" si="1"/>
        <v>-280</v>
      </c>
      <c r="G36" s="11">
        <f t="shared" si="2"/>
        <v>-1</v>
      </c>
      <c r="H36" s="31">
        <f t="shared" si="3"/>
        <v>135.37</v>
      </c>
    </row>
    <row r="37" spans="4:8" x14ac:dyDescent="0.3">
      <c r="D37">
        <v>-65</v>
      </c>
      <c r="E37" s="19">
        <f t="shared" si="0"/>
        <v>128.84277468060688</v>
      </c>
      <c r="F37" s="68">
        <f t="shared" si="1"/>
        <v>-280</v>
      </c>
      <c r="G37" s="11">
        <f t="shared" si="2"/>
        <v>-1</v>
      </c>
      <c r="H37" s="31">
        <f t="shared" si="3"/>
        <v>135.37</v>
      </c>
    </row>
    <row r="38" spans="4:8" x14ac:dyDescent="0.3">
      <c r="D38">
        <v>-64</v>
      </c>
      <c r="E38" s="19">
        <f t="shared" si="0"/>
        <v>128.94319353167447</v>
      </c>
      <c r="F38" s="68">
        <f t="shared" si="1"/>
        <v>-280</v>
      </c>
      <c r="G38" s="11">
        <f t="shared" si="2"/>
        <v>-1</v>
      </c>
      <c r="H38" s="31">
        <f t="shared" si="3"/>
        <v>135.37</v>
      </c>
    </row>
    <row r="39" spans="4:8" x14ac:dyDescent="0.3">
      <c r="D39">
        <v>-63</v>
      </c>
      <c r="E39" s="19">
        <f t="shared" si="0"/>
        <v>129.04361238274205</v>
      </c>
      <c r="F39" s="68">
        <f t="shared" si="1"/>
        <v>-280</v>
      </c>
      <c r="G39" s="11">
        <f t="shared" si="2"/>
        <v>-1</v>
      </c>
      <c r="H39" s="31">
        <f t="shared" si="3"/>
        <v>135.37</v>
      </c>
    </row>
    <row r="40" spans="4:8" x14ac:dyDescent="0.3">
      <c r="D40">
        <v>-62</v>
      </c>
      <c r="E40" s="19">
        <f t="shared" si="0"/>
        <v>129.14403123380964</v>
      </c>
      <c r="F40" s="68">
        <f t="shared" si="1"/>
        <v>-280</v>
      </c>
      <c r="G40" s="11">
        <f t="shared" si="2"/>
        <v>-1</v>
      </c>
      <c r="H40" s="31">
        <f t="shared" si="3"/>
        <v>135.37</v>
      </c>
    </row>
    <row r="41" spans="4:8" x14ac:dyDescent="0.3">
      <c r="D41">
        <v>-61</v>
      </c>
      <c r="E41" s="19">
        <f t="shared" si="0"/>
        <v>129.24445008487723</v>
      </c>
      <c r="F41" s="68">
        <f t="shared" si="1"/>
        <v>-280</v>
      </c>
      <c r="G41" s="11">
        <f t="shared" si="2"/>
        <v>-1</v>
      </c>
      <c r="H41" s="31">
        <f t="shared" si="3"/>
        <v>135.37</v>
      </c>
    </row>
    <row r="42" spans="4:8" x14ac:dyDescent="0.3">
      <c r="D42">
        <v>-60</v>
      </c>
      <c r="E42" s="19">
        <f t="shared" si="0"/>
        <v>129.34486893594482</v>
      </c>
      <c r="F42" s="68">
        <f t="shared" si="1"/>
        <v>-280</v>
      </c>
      <c r="G42" s="11">
        <f t="shared" si="2"/>
        <v>-1</v>
      </c>
      <c r="H42" s="31">
        <f t="shared" si="3"/>
        <v>135.37</v>
      </c>
    </row>
    <row r="43" spans="4:8" x14ac:dyDescent="0.3">
      <c r="D43">
        <v>-59</v>
      </c>
      <c r="E43" s="19">
        <f t="shared" si="0"/>
        <v>129.4452877870124</v>
      </c>
      <c r="F43" s="68">
        <f t="shared" si="1"/>
        <v>-280</v>
      </c>
      <c r="G43" s="11">
        <f t="shared" si="2"/>
        <v>-1</v>
      </c>
      <c r="H43" s="31">
        <f t="shared" si="3"/>
        <v>135.37</v>
      </c>
    </row>
    <row r="44" spans="4:8" x14ac:dyDescent="0.3">
      <c r="D44">
        <v>-58</v>
      </c>
      <c r="E44" s="19">
        <f t="shared" si="0"/>
        <v>129.54570663807999</v>
      </c>
      <c r="F44" s="68">
        <f t="shared" si="1"/>
        <v>-280</v>
      </c>
      <c r="G44" s="11">
        <f t="shared" si="2"/>
        <v>-1</v>
      </c>
      <c r="H44" s="31">
        <f t="shared" si="3"/>
        <v>135.37</v>
      </c>
    </row>
    <row r="45" spans="4:8" x14ac:dyDescent="0.3">
      <c r="D45">
        <v>-57</v>
      </c>
      <c r="E45" s="19">
        <f t="shared" si="0"/>
        <v>129.64612548914758</v>
      </c>
      <c r="F45" s="68">
        <f t="shared" si="1"/>
        <v>-280</v>
      </c>
      <c r="G45" s="11">
        <f t="shared" si="2"/>
        <v>-1</v>
      </c>
      <c r="H45" s="31">
        <f t="shared" si="3"/>
        <v>135.37</v>
      </c>
    </row>
    <row r="46" spans="4:8" x14ac:dyDescent="0.3">
      <c r="D46">
        <v>-56</v>
      </c>
      <c r="E46" s="19">
        <f t="shared" si="0"/>
        <v>129.74654434021517</v>
      </c>
      <c r="F46" s="68">
        <f t="shared" si="1"/>
        <v>-280</v>
      </c>
      <c r="G46" s="11">
        <f t="shared" si="2"/>
        <v>-1</v>
      </c>
      <c r="H46" s="31">
        <f t="shared" si="3"/>
        <v>135.37</v>
      </c>
    </row>
    <row r="47" spans="4:8" x14ac:dyDescent="0.3">
      <c r="D47">
        <v>-55</v>
      </c>
      <c r="E47" s="19">
        <f t="shared" si="0"/>
        <v>129.84696319128275</v>
      </c>
      <c r="F47" s="68">
        <f t="shared" si="1"/>
        <v>-280</v>
      </c>
      <c r="G47" s="11">
        <f t="shared" si="2"/>
        <v>-1</v>
      </c>
      <c r="H47" s="31">
        <f t="shared" si="3"/>
        <v>135.37</v>
      </c>
    </row>
    <row r="48" spans="4:8" x14ac:dyDescent="0.3">
      <c r="D48">
        <v>-54</v>
      </c>
      <c r="E48" s="19">
        <f t="shared" si="0"/>
        <v>129.94738204235034</v>
      </c>
      <c r="F48" s="68">
        <f t="shared" si="1"/>
        <v>-280</v>
      </c>
      <c r="G48" s="11">
        <f t="shared" si="2"/>
        <v>-1</v>
      </c>
      <c r="H48" s="31">
        <f t="shared" si="3"/>
        <v>135.37</v>
      </c>
    </row>
    <row r="49" spans="4:8" x14ac:dyDescent="0.3">
      <c r="D49">
        <v>-53</v>
      </c>
      <c r="E49" s="19">
        <f t="shared" si="0"/>
        <v>130.04780089341793</v>
      </c>
      <c r="F49" s="68">
        <f t="shared" si="1"/>
        <v>-280</v>
      </c>
      <c r="G49" s="11">
        <f t="shared" si="2"/>
        <v>-1</v>
      </c>
      <c r="H49" s="31">
        <f t="shared" si="3"/>
        <v>135.37</v>
      </c>
    </row>
    <row r="50" spans="4:8" x14ac:dyDescent="0.3">
      <c r="D50">
        <v>-52</v>
      </c>
      <c r="E50" s="19">
        <f t="shared" si="0"/>
        <v>130.14821974448552</v>
      </c>
      <c r="F50" s="68">
        <f t="shared" si="1"/>
        <v>-280</v>
      </c>
      <c r="G50" s="11">
        <f t="shared" si="2"/>
        <v>-1</v>
      </c>
      <c r="H50" s="31">
        <f t="shared" si="3"/>
        <v>135.37</v>
      </c>
    </row>
    <row r="51" spans="4:8" x14ac:dyDescent="0.3">
      <c r="D51">
        <v>-51</v>
      </c>
      <c r="E51" s="19">
        <f t="shared" si="0"/>
        <v>130.2486385955531</v>
      </c>
      <c r="F51" s="68">
        <f t="shared" si="1"/>
        <v>-280</v>
      </c>
      <c r="G51" s="11">
        <f t="shared" si="2"/>
        <v>-1</v>
      </c>
      <c r="H51" s="31">
        <f t="shared" si="3"/>
        <v>135.37</v>
      </c>
    </row>
    <row r="52" spans="4:8" x14ac:dyDescent="0.3">
      <c r="D52">
        <v>-50</v>
      </c>
      <c r="E52" s="19">
        <f t="shared" si="0"/>
        <v>130.34905744662069</v>
      </c>
      <c r="F52" s="68">
        <f t="shared" si="1"/>
        <v>-280</v>
      </c>
      <c r="G52" s="11">
        <f t="shared" si="2"/>
        <v>-1</v>
      </c>
      <c r="H52" s="31">
        <f t="shared" si="3"/>
        <v>135.37</v>
      </c>
    </row>
    <row r="53" spans="4:8" x14ac:dyDescent="0.3">
      <c r="D53">
        <v>-49</v>
      </c>
      <c r="E53" s="19">
        <f t="shared" si="0"/>
        <v>130.44947629768825</v>
      </c>
      <c r="F53" s="68">
        <f t="shared" si="1"/>
        <v>-280</v>
      </c>
      <c r="G53" s="11">
        <f t="shared" si="2"/>
        <v>-1</v>
      </c>
      <c r="H53" s="31">
        <f t="shared" si="3"/>
        <v>135.37</v>
      </c>
    </row>
    <row r="54" spans="4:8" x14ac:dyDescent="0.3">
      <c r="D54">
        <v>-48</v>
      </c>
      <c r="E54" s="19">
        <f t="shared" si="0"/>
        <v>130.54989514875584</v>
      </c>
      <c r="F54" s="68">
        <f t="shared" si="1"/>
        <v>-280</v>
      </c>
      <c r="G54" s="11">
        <f t="shared" si="2"/>
        <v>-1</v>
      </c>
      <c r="H54" s="31">
        <f t="shared" si="3"/>
        <v>135.37</v>
      </c>
    </row>
    <row r="55" spans="4:8" x14ac:dyDescent="0.3">
      <c r="D55">
        <v>-47</v>
      </c>
      <c r="E55" s="19">
        <f t="shared" si="0"/>
        <v>130.65031399982342</v>
      </c>
      <c r="F55" s="68">
        <f t="shared" si="1"/>
        <v>-280</v>
      </c>
      <c r="G55" s="11">
        <f t="shared" si="2"/>
        <v>-1</v>
      </c>
      <c r="H55" s="31">
        <f t="shared" si="3"/>
        <v>135.37</v>
      </c>
    </row>
    <row r="56" spans="4:8" x14ac:dyDescent="0.3">
      <c r="D56">
        <v>-46</v>
      </c>
      <c r="E56" s="19">
        <f t="shared" si="0"/>
        <v>130.75073285089101</v>
      </c>
      <c r="F56" s="68">
        <f t="shared" si="1"/>
        <v>-280</v>
      </c>
      <c r="G56" s="11">
        <f t="shared" si="2"/>
        <v>-1</v>
      </c>
      <c r="H56" s="31">
        <f t="shared" si="3"/>
        <v>135.37</v>
      </c>
    </row>
    <row r="57" spans="4:8" x14ac:dyDescent="0.3">
      <c r="D57">
        <v>-45</v>
      </c>
      <c r="E57" s="19">
        <f t="shared" si="0"/>
        <v>130.8511517019586</v>
      </c>
      <c r="F57" s="68">
        <f t="shared" si="1"/>
        <v>-280</v>
      </c>
      <c r="G57" s="11">
        <f t="shared" si="2"/>
        <v>-1</v>
      </c>
      <c r="H57" s="31">
        <f t="shared" si="3"/>
        <v>135.37</v>
      </c>
    </row>
    <row r="58" spans="4:8" x14ac:dyDescent="0.3">
      <c r="D58">
        <v>-44</v>
      </c>
      <c r="E58" s="19">
        <f t="shared" si="0"/>
        <v>130.95157055302619</v>
      </c>
      <c r="F58" s="68">
        <f t="shared" si="1"/>
        <v>-280</v>
      </c>
      <c r="G58" s="11">
        <f t="shared" si="2"/>
        <v>-1</v>
      </c>
      <c r="H58" s="31">
        <f t="shared" si="3"/>
        <v>135.37</v>
      </c>
    </row>
    <row r="59" spans="4:8" x14ac:dyDescent="0.3">
      <c r="D59">
        <v>-43</v>
      </c>
      <c r="E59" s="19">
        <f t="shared" si="0"/>
        <v>131.05198940409377</v>
      </c>
      <c r="F59" s="68">
        <f t="shared" si="1"/>
        <v>-280</v>
      </c>
      <c r="G59" s="11">
        <f t="shared" si="2"/>
        <v>-1</v>
      </c>
      <c r="H59" s="31">
        <f t="shared" si="3"/>
        <v>135.37</v>
      </c>
    </row>
    <row r="60" spans="4:8" x14ac:dyDescent="0.3">
      <c r="D60">
        <v>-42</v>
      </c>
      <c r="E60" s="19">
        <f t="shared" si="0"/>
        <v>131.15240825516136</v>
      </c>
      <c r="F60" s="68">
        <f t="shared" si="1"/>
        <v>-280</v>
      </c>
      <c r="G60" s="11">
        <f t="shared" si="2"/>
        <v>-1</v>
      </c>
      <c r="H60" s="31">
        <f t="shared" si="3"/>
        <v>135.37</v>
      </c>
    </row>
    <row r="61" spans="4:8" x14ac:dyDescent="0.3">
      <c r="D61">
        <v>-41</v>
      </c>
      <c r="E61" s="19">
        <f t="shared" si="0"/>
        <v>131.25282710622895</v>
      </c>
      <c r="F61" s="68">
        <f t="shared" si="1"/>
        <v>-280</v>
      </c>
      <c r="G61" s="11">
        <f t="shared" si="2"/>
        <v>-1</v>
      </c>
      <c r="H61" s="31">
        <f t="shared" si="3"/>
        <v>135.37</v>
      </c>
    </row>
    <row r="62" spans="4:8" x14ac:dyDescent="0.3">
      <c r="D62">
        <v>-40</v>
      </c>
      <c r="E62" s="19">
        <f t="shared" si="0"/>
        <v>131.35324595729654</v>
      </c>
      <c r="F62" s="68">
        <f t="shared" si="1"/>
        <v>-280</v>
      </c>
      <c r="G62" s="11">
        <f t="shared" si="2"/>
        <v>-1</v>
      </c>
      <c r="H62" s="31">
        <f t="shared" si="3"/>
        <v>135.37</v>
      </c>
    </row>
    <row r="63" spans="4:8" x14ac:dyDescent="0.3">
      <c r="D63">
        <v>-39</v>
      </c>
      <c r="E63" s="19">
        <f t="shared" si="0"/>
        <v>131.45366480836412</v>
      </c>
      <c r="F63" s="68">
        <f t="shared" si="1"/>
        <v>-280</v>
      </c>
      <c r="G63" s="11">
        <f t="shared" si="2"/>
        <v>-1</v>
      </c>
      <c r="H63" s="31">
        <f t="shared" si="3"/>
        <v>135.37</v>
      </c>
    </row>
    <row r="64" spans="4:8" x14ac:dyDescent="0.3">
      <c r="D64">
        <v>-38</v>
      </c>
      <c r="E64" s="19">
        <f t="shared" si="0"/>
        <v>131.55408365943171</v>
      </c>
      <c r="F64" s="68">
        <f t="shared" si="1"/>
        <v>-280</v>
      </c>
      <c r="G64" s="11">
        <f t="shared" si="2"/>
        <v>-1</v>
      </c>
      <c r="H64" s="31">
        <f t="shared" si="3"/>
        <v>135.37</v>
      </c>
    </row>
    <row r="65" spans="4:8" x14ac:dyDescent="0.3">
      <c r="D65">
        <v>-37</v>
      </c>
      <c r="E65" s="19">
        <f t="shared" si="0"/>
        <v>131.6545025104993</v>
      </c>
      <c r="F65" s="68">
        <f t="shared" si="1"/>
        <v>-280</v>
      </c>
      <c r="G65" s="11">
        <f t="shared" si="2"/>
        <v>-1</v>
      </c>
      <c r="H65" s="31">
        <f t="shared" si="3"/>
        <v>135.37</v>
      </c>
    </row>
    <row r="66" spans="4:8" x14ac:dyDescent="0.3">
      <c r="D66">
        <v>-36</v>
      </c>
      <c r="E66" s="19">
        <f t="shared" ref="E66:E129" si="4">$B$1+D66*$B$7</f>
        <v>131.75492136156689</v>
      </c>
      <c r="F66" s="68">
        <f t="shared" si="1"/>
        <v>-280</v>
      </c>
      <c r="G66" s="11">
        <f t="shared" si="2"/>
        <v>-1</v>
      </c>
      <c r="H66" s="31">
        <f t="shared" si="3"/>
        <v>135.37</v>
      </c>
    </row>
    <row r="67" spans="4:8" x14ac:dyDescent="0.3">
      <c r="D67">
        <v>-35</v>
      </c>
      <c r="E67" s="19">
        <f t="shared" si="4"/>
        <v>131.85534021263447</v>
      </c>
      <c r="F67" s="68">
        <f t="shared" ref="F67:F130" si="5">IF($B$4="CALL",MAX(E67-$B$2,0)-$B$3,MAX($B$2-E67,0)-$B$3)*$B$9</f>
        <v>-280</v>
      </c>
      <c r="G67" s="11">
        <f t="shared" ref="G67:G130" si="6">F67/$B$10</f>
        <v>-1</v>
      </c>
      <c r="H67" s="31">
        <f t="shared" ref="H67:H130" si="7">$B$1</f>
        <v>135.37</v>
      </c>
    </row>
    <row r="68" spans="4:8" x14ac:dyDescent="0.3">
      <c r="D68">
        <v>-34</v>
      </c>
      <c r="E68" s="19">
        <f t="shared" si="4"/>
        <v>131.95575906370206</v>
      </c>
      <c r="F68" s="68">
        <f t="shared" si="5"/>
        <v>-280</v>
      </c>
      <c r="G68" s="11">
        <f t="shared" si="6"/>
        <v>-1</v>
      </c>
      <c r="H68" s="31">
        <f t="shared" si="7"/>
        <v>135.37</v>
      </c>
    </row>
    <row r="69" spans="4:8" x14ac:dyDescent="0.3">
      <c r="D69">
        <v>-33</v>
      </c>
      <c r="E69" s="19">
        <f t="shared" si="4"/>
        <v>132.05617791476965</v>
      </c>
      <c r="F69" s="68">
        <f t="shared" si="5"/>
        <v>-280</v>
      </c>
      <c r="G69" s="11">
        <f t="shared" si="6"/>
        <v>-1</v>
      </c>
      <c r="H69" s="31">
        <f t="shared" si="7"/>
        <v>135.37</v>
      </c>
    </row>
    <row r="70" spans="4:8" x14ac:dyDescent="0.3">
      <c r="D70">
        <v>-32</v>
      </c>
      <c r="E70" s="19">
        <f t="shared" si="4"/>
        <v>132.15659676583724</v>
      </c>
      <c r="F70" s="68">
        <f t="shared" si="5"/>
        <v>-280</v>
      </c>
      <c r="G70" s="11">
        <f t="shared" si="6"/>
        <v>-1</v>
      </c>
      <c r="H70" s="31">
        <f t="shared" si="7"/>
        <v>135.37</v>
      </c>
    </row>
    <row r="71" spans="4:8" x14ac:dyDescent="0.3">
      <c r="D71">
        <v>-31</v>
      </c>
      <c r="E71" s="19">
        <f t="shared" si="4"/>
        <v>132.25701561690482</v>
      </c>
      <c r="F71" s="68">
        <f t="shared" si="5"/>
        <v>-280</v>
      </c>
      <c r="G71" s="11">
        <f t="shared" si="6"/>
        <v>-1</v>
      </c>
      <c r="H71" s="31">
        <f t="shared" si="7"/>
        <v>135.37</v>
      </c>
    </row>
    <row r="72" spans="4:8" x14ac:dyDescent="0.3">
      <c r="D72">
        <v>-30</v>
      </c>
      <c r="E72" s="19">
        <f t="shared" si="4"/>
        <v>132.35743446797241</v>
      </c>
      <c r="F72" s="68">
        <f t="shared" si="5"/>
        <v>-280</v>
      </c>
      <c r="G72" s="11">
        <f t="shared" si="6"/>
        <v>-1</v>
      </c>
      <c r="H72" s="31">
        <f t="shared" si="7"/>
        <v>135.37</v>
      </c>
    </row>
    <row r="73" spans="4:8" x14ac:dyDescent="0.3">
      <c r="D73">
        <v>-29</v>
      </c>
      <c r="E73" s="19">
        <f t="shared" si="4"/>
        <v>132.45785331904</v>
      </c>
      <c r="F73" s="68">
        <f t="shared" si="5"/>
        <v>-280</v>
      </c>
      <c r="G73" s="11">
        <f t="shared" si="6"/>
        <v>-1</v>
      </c>
      <c r="H73" s="31">
        <f t="shared" si="7"/>
        <v>135.37</v>
      </c>
    </row>
    <row r="74" spans="4:8" x14ac:dyDescent="0.3">
      <c r="D74">
        <v>-28</v>
      </c>
      <c r="E74" s="19">
        <f t="shared" si="4"/>
        <v>132.55827217010759</v>
      </c>
      <c r="F74" s="68">
        <f t="shared" si="5"/>
        <v>-280</v>
      </c>
      <c r="G74" s="11">
        <f t="shared" si="6"/>
        <v>-1</v>
      </c>
      <c r="H74" s="31">
        <f t="shared" si="7"/>
        <v>135.37</v>
      </c>
    </row>
    <row r="75" spans="4:8" x14ac:dyDescent="0.3">
      <c r="D75">
        <v>-27</v>
      </c>
      <c r="E75" s="19">
        <f t="shared" si="4"/>
        <v>132.65869102117517</v>
      </c>
      <c r="F75" s="68">
        <f t="shared" si="5"/>
        <v>-280</v>
      </c>
      <c r="G75" s="11">
        <f t="shared" si="6"/>
        <v>-1</v>
      </c>
      <c r="H75" s="31">
        <f t="shared" si="7"/>
        <v>135.37</v>
      </c>
    </row>
    <row r="76" spans="4:8" x14ac:dyDescent="0.3">
      <c r="D76">
        <v>-26</v>
      </c>
      <c r="E76" s="19">
        <f t="shared" si="4"/>
        <v>132.75910987224276</v>
      </c>
      <c r="F76" s="68">
        <f t="shared" si="5"/>
        <v>-280</v>
      </c>
      <c r="G76" s="11">
        <f t="shared" si="6"/>
        <v>-1</v>
      </c>
      <c r="H76" s="31">
        <f t="shared" si="7"/>
        <v>135.37</v>
      </c>
    </row>
    <row r="77" spans="4:8" x14ac:dyDescent="0.3">
      <c r="D77">
        <v>-25</v>
      </c>
      <c r="E77" s="19">
        <f t="shared" si="4"/>
        <v>132.85952872331035</v>
      </c>
      <c r="F77" s="68">
        <f t="shared" si="5"/>
        <v>-280</v>
      </c>
      <c r="G77" s="11">
        <f t="shared" si="6"/>
        <v>-1</v>
      </c>
      <c r="H77" s="31">
        <f t="shared" si="7"/>
        <v>135.37</v>
      </c>
    </row>
    <row r="78" spans="4:8" x14ac:dyDescent="0.3">
      <c r="D78">
        <v>-24</v>
      </c>
      <c r="E78" s="19">
        <f t="shared" si="4"/>
        <v>132.95994757437794</v>
      </c>
      <c r="F78" s="68">
        <f t="shared" si="5"/>
        <v>-280</v>
      </c>
      <c r="G78" s="11">
        <f t="shared" si="6"/>
        <v>-1</v>
      </c>
      <c r="H78" s="31">
        <f t="shared" si="7"/>
        <v>135.37</v>
      </c>
    </row>
    <row r="79" spans="4:8" x14ac:dyDescent="0.3">
      <c r="D79">
        <v>-23</v>
      </c>
      <c r="E79" s="19">
        <f t="shared" si="4"/>
        <v>133.06036642544552</v>
      </c>
      <c r="F79" s="68">
        <f t="shared" si="5"/>
        <v>-280</v>
      </c>
      <c r="G79" s="11">
        <f t="shared" si="6"/>
        <v>-1</v>
      </c>
      <c r="H79" s="31">
        <f t="shared" si="7"/>
        <v>135.37</v>
      </c>
    </row>
    <row r="80" spans="4:8" x14ac:dyDescent="0.3">
      <c r="D80">
        <v>-22</v>
      </c>
      <c r="E80" s="19">
        <f t="shared" si="4"/>
        <v>133.16078527651311</v>
      </c>
      <c r="F80" s="68">
        <f t="shared" si="5"/>
        <v>-280</v>
      </c>
      <c r="G80" s="11">
        <f t="shared" si="6"/>
        <v>-1</v>
      </c>
      <c r="H80" s="31">
        <f t="shared" si="7"/>
        <v>135.37</v>
      </c>
    </row>
    <row r="81" spans="4:8" x14ac:dyDescent="0.3">
      <c r="D81">
        <v>-21</v>
      </c>
      <c r="E81" s="19">
        <f t="shared" si="4"/>
        <v>133.2612041275807</v>
      </c>
      <c r="F81" s="68">
        <f t="shared" si="5"/>
        <v>-280</v>
      </c>
      <c r="G81" s="11">
        <f t="shared" si="6"/>
        <v>-1</v>
      </c>
      <c r="H81" s="31">
        <f t="shared" si="7"/>
        <v>135.37</v>
      </c>
    </row>
    <row r="82" spans="4:8" x14ac:dyDescent="0.3">
      <c r="D82">
        <v>-20</v>
      </c>
      <c r="E82" s="19">
        <f t="shared" si="4"/>
        <v>133.36162297864828</v>
      </c>
      <c r="F82" s="68">
        <f t="shared" si="5"/>
        <v>-280</v>
      </c>
      <c r="G82" s="11">
        <f t="shared" si="6"/>
        <v>-1</v>
      </c>
      <c r="H82" s="31">
        <f t="shared" si="7"/>
        <v>135.37</v>
      </c>
    </row>
    <row r="83" spans="4:8" x14ac:dyDescent="0.3">
      <c r="D83">
        <v>-19</v>
      </c>
      <c r="E83" s="19">
        <f t="shared" si="4"/>
        <v>133.46204182971587</v>
      </c>
      <c r="F83" s="68">
        <f t="shared" si="5"/>
        <v>-280</v>
      </c>
      <c r="G83" s="11">
        <f t="shared" si="6"/>
        <v>-1</v>
      </c>
      <c r="H83" s="31">
        <f t="shared" si="7"/>
        <v>135.37</v>
      </c>
    </row>
    <row r="84" spans="4:8" x14ac:dyDescent="0.3">
      <c r="D84">
        <v>-18</v>
      </c>
      <c r="E84" s="19">
        <f t="shared" si="4"/>
        <v>133.56246068078346</v>
      </c>
      <c r="F84" s="68">
        <f t="shared" si="5"/>
        <v>-280</v>
      </c>
      <c r="G84" s="11">
        <f t="shared" si="6"/>
        <v>-1</v>
      </c>
      <c r="H84" s="31">
        <f t="shared" si="7"/>
        <v>135.37</v>
      </c>
    </row>
    <row r="85" spans="4:8" x14ac:dyDescent="0.3">
      <c r="D85">
        <v>-17</v>
      </c>
      <c r="E85" s="19">
        <f t="shared" si="4"/>
        <v>133.66287953185105</v>
      </c>
      <c r="F85" s="68">
        <f t="shared" si="5"/>
        <v>-280</v>
      </c>
      <c r="G85" s="11">
        <f t="shared" si="6"/>
        <v>-1</v>
      </c>
      <c r="H85" s="31">
        <f t="shared" si="7"/>
        <v>135.37</v>
      </c>
    </row>
    <row r="86" spans="4:8" x14ac:dyDescent="0.3">
      <c r="D86">
        <v>-16</v>
      </c>
      <c r="E86" s="19">
        <f t="shared" si="4"/>
        <v>133.76329838291861</v>
      </c>
      <c r="F86" s="68">
        <f t="shared" si="5"/>
        <v>-280</v>
      </c>
      <c r="G86" s="11">
        <f t="shared" si="6"/>
        <v>-1</v>
      </c>
      <c r="H86" s="31">
        <f t="shared" si="7"/>
        <v>135.37</v>
      </c>
    </row>
    <row r="87" spans="4:8" x14ac:dyDescent="0.3">
      <c r="D87">
        <v>-15</v>
      </c>
      <c r="E87" s="19">
        <f t="shared" si="4"/>
        <v>133.86371723398619</v>
      </c>
      <c r="F87" s="68">
        <f t="shared" si="5"/>
        <v>-280</v>
      </c>
      <c r="G87" s="11">
        <f t="shared" si="6"/>
        <v>-1</v>
      </c>
      <c r="H87" s="31">
        <f t="shared" si="7"/>
        <v>135.37</v>
      </c>
    </row>
    <row r="88" spans="4:8" x14ac:dyDescent="0.3">
      <c r="D88">
        <v>-14</v>
      </c>
      <c r="E88" s="19">
        <f t="shared" si="4"/>
        <v>133.96413608505378</v>
      </c>
      <c r="F88" s="68">
        <f t="shared" si="5"/>
        <v>-280</v>
      </c>
      <c r="G88" s="11">
        <f t="shared" si="6"/>
        <v>-1</v>
      </c>
      <c r="H88" s="31">
        <f t="shared" si="7"/>
        <v>135.37</v>
      </c>
    </row>
    <row r="89" spans="4:8" x14ac:dyDescent="0.3">
      <c r="D89">
        <v>-13</v>
      </c>
      <c r="E89" s="19">
        <f t="shared" si="4"/>
        <v>134.06455493612137</v>
      </c>
      <c r="F89" s="68">
        <f t="shared" si="5"/>
        <v>-280</v>
      </c>
      <c r="G89" s="11">
        <f t="shared" si="6"/>
        <v>-1</v>
      </c>
      <c r="H89" s="31">
        <f t="shared" si="7"/>
        <v>135.37</v>
      </c>
    </row>
    <row r="90" spans="4:8" x14ac:dyDescent="0.3">
      <c r="D90">
        <v>-12</v>
      </c>
      <c r="E90" s="19">
        <f t="shared" si="4"/>
        <v>134.16497378718896</v>
      </c>
      <c r="F90" s="68">
        <f t="shared" si="5"/>
        <v>-280</v>
      </c>
      <c r="G90" s="11">
        <f t="shared" si="6"/>
        <v>-1</v>
      </c>
      <c r="H90" s="31">
        <f t="shared" si="7"/>
        <v>135.37</v>
      </c>
    </row>
    <row r="91" spans="4:8" x14ac:dyDescent="0.3">
      <c r="D91">
        <v>-11</v>
      </c>
      <c r="E91" s="19">
        <f t="shared" si="4"/>
        <v>134.26539263825654</v>
      </c>
      <c r="F91" s="68">
        <f t="shared" si="5"/>
        <v>-280</v>
      </c>
      <c r="G91" s="11">
        <f t="shared" si="6"/>
        <v>-1</v>
      </c>
      <c r="H91" s="31">
        <f t="shared" si="7"/>
        <v>135.37</v>
      </c>
    </row>
    <row r="92" spans="4:8" x14ac:dyDescent="0.3">
      <c r="D92">
        <v>-10</v>
      </c>
      <c r="E92" s="19">
        <f t="shared" si="4"/>
        <v>134.36581148932413</v>
      </c>
      <c r="F92" s="68">
        <f t="shared" si="5"/>
        <v>-280</v>
      </c>
      <c r="G92" s="11">
        <f t="shared" si="6"/>
        <v>-1</v>
      </c>
      <c r="H92" s="31">
        <f t="shared" si="7"/>
        <v>135.37</v>
      </c>
    </row>
    <row r="93" spans="4:8" x14ac:dyDescent="0.3">
      <c r="D93">
        <v>-9</v>
      </c>
      <c r="E93" s="19">
        <f t="shared" si="4"/>
        <v>134.46623034039172</v>
      </c>
      <c r="F93" s="68">
        <f t="shared" si="5"/>
        <v>-280</v>
      </c>
      <c r="G93" s="11">
        <f t="shared" si="6"/>
        <v>-1</v>
      </c>
      <c r="H93" s="31">
        <f t="shared" si="7"/>
        <v>135.37</v>
      </c>
    </row>
    <row r="94" spans="4:8" x14ac:dyDescent="0.3">
      <c r="D94">
        <v>-8</v>
      </c>
      <c r="E94" s="19">
        <f t="shared" si="4"/>
        <v>134.56664919145931</v>
      </c>
      <c r="F94" s="68">
        <f t="shared" si="5"/>
        <v>-280</v>
      </c>
      <c r="G94" s="11">
        <f t="shared" si="6"/>
        <v>-1</v>
      </c>
      <c r="H94" s="31">
        <f t="shared" si="7"/>
        <v>135.37</v>
      </c>
    </row>
    <row r="95" spans="4:8" x14ac:dyDescent="0.3">
      <c r="D95">
        <v>-7</v>
      </c>
      <c r="E95" s="19">
        <f t="shared" si="4"/>
        <v>134.66706804252689</v>
      </c>
      <c r="F95" s="68">
        <f t="shared" si="5"/>
        <v>-280</v>
      </c>
      <c r="G95" s="11">
        <f t="shared" si="6"/>
        <v>-1</v>
      </c>
      <c r="H95" s="31">
        <f t="shared" si="7"/>
        <v>135.37</v>
      </c>
    </row>
    <row r="96" spans="4:8" x14ac:dyDescent="0.3">
      <c r="D96">
        <v>-6</v>
      </c>
      <c r="E96" s="19">
        <f t="shared" si="4"/>
        <v>134.76748689359448</v>
      </c>
      <c r="F96" s="68">
        <f t="shared" si="5"/>
        <v>-280</v>
      </c>
      <c r="G96" s="11">
        <f t="shared" si="6"/>
        <v>-1</v>
      </c>
      <c r="H96" s="31">
        <f t="shared" si="7"/>
        <v>135.37</v>
      </c>
    </row>
    <row r="97" spans="4:8" x14ac:dyDescent="0.3">
      <c r="D97">
        <v>-5</v>
      </c>
      <c r="E97" s="19">
        <f t="shared" si="4"/>
        <v>134.86790574466207</v>
      </c>
      <c r="F97" s="68">
        <f t="shared" si="5"/>
        <v>-280</v>
      </c>
      <c r="G97" s="11">
        <f t="shared" si="6"/>
        <v>-1</v>
      </c>
      <c r="H97" s="31">
        <f t="shared" si="7"/>
        <v>135.37</v>
      </c>
    </row>
    <row r="98" spans="4:8" x14ac:dyDescent="0.3">
      <c r="D98">
        <v>-4</v>
      </c>
      <c r="E98" s="19">
        <f t="shared" si="4"/>
        <v>134.96832459572965</v>
      </c>
      <c r="F98" s="68">
        <f t="shared" si="5"/>
        <v>-280</v>
      </c>
      <c r="G98" s="11">
        <f t="shared" si="6"/>
        <v>-1</v>
      </c>
      <c r="H98" s="31">
        <f t="shared" si="7"/>
        <v>135.37</v>
      </c>
    </row>
    <row r="99" spans="4:8" x14ac:dyDescent="0.3">
      <c r="D99">
        <v>-3</v>
      </c>
      <c r="E99" s="19">
        <f t="shared" si="4"/>
        <v>135.06874344679724</v>
      </c>
      <c r="F99" s="68">
        <f t="shared" si="5"/>
        <v>-273.12565532027577</v>
      </c>
      <c r="G99" s="11">
        <f t="shared" si="6"/>
        <v>-0.97544876900098487</v>
      </c>
      <c r="H99" s="31">
        <f t="shared" si="7"/>
        <v>135.37</v>
      </c>
    </row>
    <row r="100" spans="4:8" x14ac:dyDescent="0.3">
      <c r="D100">
        <v>-2</v>
      </c>
      <c r="E100" s="19">
        <f t="shared" si="4"/>
        <v>135.16916229786483</v>
      </c>
      <c r="F100" s="68">
        <f t="shared" si="5"/>
        <v>-263.08377021351703</v>
      </c>
      <c r="G100" s="11">
        <f t="shared" si="6"/>
        <v>-0.93958489361970365</v>
      </c>
      <c r="H100" s="31">
        <f t="shared" si="7"/>
        <v>135.37</v>
      </c>
    </row>
    <row r="101" spans="4:8" x14ac:dyDescent="0.3">
      <c r="D101">
        <v>-1</v>
      </c>
      <c r="E101" s="19">
        <f t="shared" si="4"/>
        <v>135.26958114893242</v>
      </c>
      <c r="F101" s="68">
        <f t="shared" si="5"/>
        <v>-253.04188510675826</v>
      </c>
      <c r="G101" s="11">
        <f t="shared" si="6"/>
        <v>-0.90372101823842232</v>
      </c>
      <c r="H101" s="31">
        <f t="shared" si="7"/>
        <v>135.37</v>
      </c>
    </row>
    <row r="102" spans="4:8" x14ac:dyDescent="0.3">
      <c r="D102">
        <v>0</v>
      </c>
      <c r="E102" s="19">
        <f t="shared" si="4"/>
        <v>135.37</v>
      </c>
      <c r="F102" s="68">
        <f t="shared" si="5"/>
        <v>-242.99999999999952</v>
      </c>
      <c r="G102" s="11">
        <f t="shared" si="6"/>
        <v>-0.86785714285714111</v>
      </c>
      <c r="H102" s="31">
        <f t="shared" si="7"/>
        <v>135.37</v>
      </c>
    </row>
    <row r="103" spans="4:8" x14ac:dyDescent="0.3">
      <c r="D103">
        <v>1</v>
      </c>
      <c r="E103" s="19">
        <f t="shared" si="4"/>
        <v>135.47041885106759</v>
      </c>
      <c r="F103" s="68">
        <f t="shared" si="5"/>
        <v>-232.95811489324078</v>
      </c>
      <c r="G103" s="11">
        <f t="shared" si="6"/>
        <v>-0.83199326747585989</v>
      </c>
      <c r="H103" s="31">
        <f t="shared" si="7"/>
        <v>135.37</v>
      </c>
    </row>
    <row r="104" spans="4:8" x14ac:dyDescent="0.3">
      <c r="D104">
        <v>2</v>
      </c>
      <c r="E104" s="19">
        <f t="shared" si="4"/>
        <v>135.57083770213518</v>
      </c>
      <c r="F104" s="68">
        <f t="shared" si="5"/>
        <v>-222.91622978648203</v>
      </c>
      <c r="G104" s="11">
        <f t="shared" si="6"/>
        <v>-0.79612939209457867</v>
      </c>
      <c r="H104" s="31">
        <f t="shared" si="7"/>
        <v>135.37</v>
      </c>
    </row>
    <row r="105" spans="4:8" x14ac:dyDescent="0.3">
      <c r="D105">
        <v>3</v>
      </c>
      <c r="E105" s="19">
        <f t="shared" si="4"/>
        <v>135.67125655320277</v>
      </c>
      <c r="F105" s="68">
        <f t="shared" si="5"/>
        <v>-212.87434467972329</v>
      </c>
      <c r="G105" s="11">
        <f t="shared" si="6"/>
        <v>-0.76026551671329745</v>
      </c>
      <c r="H105" s="31">
        <f t="shared" si="7"/>
        <v>135.37</v>
      </c>
    </row>
    <row r="106" spans="4:8" x14ac:dyDescent="0.3">
      <c r="D106">
        <v>4</v>
      </c>
      <c r="E106" s="19">
        <f t="shared" si="4"/>
        <v>135.77167540427035</v>
      </c>
      <c r="F106" s="68">
        <f t="shared" si="5"/>
        <v>-202.83245957296455</v>
      </c>
      <c r="G106" s="11">
        <f t="shared" si="6"/>
        <v>-0.72440164133201623</v>
      </c>
      <c r="H106" s="31">
        <f t="shared" si="7"/>
        <v>135.37</v>
      </c>
    </row>
    <row r="107" spans="4:8" x14ac:dyDescent="0.3">
      <c r="D107">
        <v>5</v>
      </c>
      <c r="E107" s="19">
        <f t="shared" si="4"/>
        <v>135.87209425533794</v>
      </c>
      <c r="F107" s="68">
        <f t="shared" si="5"/>
        <v>-192.79057446620581</v>
      </c>
      <c r="G107" s="11">
        <f t="shared" si="6"/>
        <v>-0.68853776595073501</v>
      </c>
      <c r="H107" s="31">
        <f t="shared" si="7"/>
        <v>135.37</v>
      </c>
    </row>
    <row r="108" spans="4:8" x14ac:dyDescent="0.3">
      <c r="D108">
        <v>6</v>
      </c>
      <c r="E108" s="19">
        <f t="shared" si="4"/>
        <v>135.97251310640553</v>
      </c>
      <c r="F108" s="68">
        <f t="shared" si="5"/>
        <v>-182.74868935944707</v>
      </c>
      <c r="G108" s="11">
        <f t="shared" si="6"/>
        <v>-0.6526738905694538</v>
      </c>
      <c r="H108" s="31">
        <f t="shared" si="7"/>
        <v>135.37</v>
      </c>
    </row>
    <row r="109" spans="4:8" x14ac:dyDescent="0.3">
      <c r="D109">
        <v>7</v>
      </c>
      <c r="E109" s="19">
        <f t="shared" si="4"/>
        <v>136.07293195747312</v>
      </c>
      <c r="F109" s="68">
        <f t="shared" si="5"/>
        <v>-172.70680425268833</v>
      </c>
      <c r="G109" s="11">
        <f t="shared" si="6"/>
        <v>-0.61681001518817258</v>
      </c>
      <c r="H109" s="31">
        <f t="shared" si="7"/>
        <v>135.37</v>
      </c>
    </row>
    <row r="110" spans="4:8" x14ac:dyDescent="0.3">
      <c r="D110">
        <v>8</v>
      </c>
      <c r="E110" s="19">
        <f t="shared" si="4"/>
        <v>136.1733508085407</v>
      </c>
      <c r="F110" s="68">
        <f t="shared" si="5"/>
        <v>-162.66491914592959</v>
      </c>
      <c r="G110" s="11">
        <f t="shared" si="6"/>
        <v>-0.58094613980689136</v>
      </c>
      <c r="H110" s="31">
        <f t="shared" si="7"/>
        <v>135.37</v>
      </c>
    </row>
    <row r="111" spans="4:8" x14ac:dyDescent="0.3">
      <c r="D111">
        <v>9</v>
      </c>
      <c r="E111" s="19">
        <f t="shared" si="4"/>
        <v>136.27376965960829</v>
      </c>
      <c r="F111" s="68">
        <f t="shared" si="5"/>
        <v>-152.62303403917085</v>
      </c>
      <c r="G111" s="11">
        <f t="shared" si="6"/>
        <v>-0.54508226442561014</v>
      </c>
      <c r="H111" s="31">
        <f t="shared" si="7"/>
        <v>135.37</v>
      </c>
    </row>
    <row r="112" spans="4:8" x14ac:dyDescent="0.3">
      <c r="D112">
        <v>10</v>
      </c>
      <c r="E112" s="19">
        <f t="shared" si="4"/>
        <v>136.37418851067588</v>
      </c>
      <c r="F112" s="68">
        <f t="shared" si="5"/>
        <v>-142.58114893241211</v>
      </c>
      <c r="G112" s="11">
        <f t="shared" si="6"/>
        <v>-0.50921838904432892</v>
      </c>
      <c r="H112" s="31">
        <f t="shared" si="7"/>
        <v>135.37</v>
      </c>
    </row>
    <row r="113" spans="4:8" x14ac:dyDescent="0.3">
      <c r="D113">
        <v>11</v>
      </c>
      <c r="E113" s="19">
        <f t="shared" si="4"/>
        <v>136.47460736174347</v>
      </c>
      <c r="F113" s="68">
        <f t="shared" si="5"/>
        <v>-132.53926382565336</v>
      </c>
      <c r="G113" s="11">
        <f t="shared" si="6"/>
        <v>-0.4733545136630477</v>
      </c>
      <c r="H113" s="31">
        <f t="shared" si="7"/>
        <v>135.37</v>
      </c>
    </row>
    <row r="114" spans="4:8" x14ac:dyDescent="0.3">
      <c r="D114">
        <v>12</v>
      </c>
      <c r="E114" s="19">
        <f t="shared" si="4"/>
        <v>136.57502621281105</v>
      </c>
      <c r="F114" s="68">
        <f t="shared" si="5"/>
        <v>-122.49737871889464</v>
      </c>
      <c r="G114" s="11">
        <f t="shared" si="6"/>
        <v>-0.43749063828176654</v>
      </c>
      <c r="H114" s="31">
        <f t="shared" si="7"/>
        <v>135.37</v>
      </c>
    </row>
    <row r="115" spans="4:8" x14ac:dyDescent="0.3">
      <c r="D115">
        <v>13</v>
      </c>
      <c r="E115" s="19">
        <f t="shared" si="4"/>
        <v>136.67544506387864</v>
      </c>
      <c r="F115" s="68">
        <f t="shared" si="5"/>
        <v>-112.4554936121359</v>
      </c>
      <c r="G115" s="11">
        <f t="shared" si="6"/>
        <v>-0.40162676290048532</v>
      </c>
      <c r="H115" s="31">
        <f t="shared" si="7"/>
        <v>135.37</v>
      </c>
    </row>
    <row r="116" spans="4:8" x14ac:dyDescent="0.3">
      <c r="D116">
        <v>14</v>
      </c>
      <c r="E116" s="19">
        <f t="shared" si="4"/>
        <v>136.77586391494623</v>
      </c>
      <c r="F116" s="68">
        <f t="shared" si="5"/>
        <v>-102.41360850537716</v>
      </c>
      <c r="G116" s="11">
        <f t="shared" si="6"/>
        <v>-0.36576288751920411</v>
      </c>
      <c r="H116" s="31">
        <f t="shared" si="7"/>
        <v>135.37</v>
      </c>
    </row>
    <row r="117" spans="4:8" x14ac:dyDescent="0.3">
      <c r="D117">
        <v>15</v>
      </c>
      <c r="E117" s="19">
        <f t="shared" si="4"/>
        <v>136.87628276601382</v>
      </c>
      <c r="F117" s="68">
        <f t="shared" si="5"/>
        <v>-92.371723398618414</v>
      </c>
      <c r="G117" s="11">
        <f t="shared" si="6"/>
        <v>-0.32989901213792289</v>
      </c>
      <c r="H117" s="31">
        <f t="shared" si="7"/>
        <v>135.37</v>
      </c>
    </row>
    <row r="118" spans="4:8" x14ac:dyDescent="0.3">
      <c r="D118">
        <v>16</v>
      </c>
      <c r="E118" s="19">
        <f t="shared" si="4"/>
        <v>136.9767016170814</v>
      </c>
      <c r="F118" s="68">
        <f t="shared" si="5"/>
        <v>-82.329838291859673</v>
      </c>
      <c r="G118" s="11">
        <f t="shared" si="6"/>
        <v>-0.29403513675664167</v>
      </c>
      <c r="H118" s="31">
        <f t="shared" si="7"/>
        <v>135.37</v>
      </c>
    </row>
    <row r="119" spans="4:8" x14ac:dyDescent="0.3">
      <c r="D119">
        <v>17</v>
      </c>
      <c r="E119" s="19">
        <f t="shared" si="4"/>
        <v>137.07712046814896</v>
      </c>
      <c r="F119" s="68">
        <f t="shared" si="5"/>
        <v>-72.287953185103774</v>
      </c>
      <c r="G119" s="11">
        <f t="shared" si="6"/>
        <v>-0.25817126137537061</v>
      </c>
      <c r="H119" s="31">
        <f t="shared" si="7"/>
        <v>135.37</v>
      </c>
    </row>
    <row r="120" spans="4:8" x14ac:dyDescent="0.3">
      <c r="D120">
        <v>18</v>
      </c>
      <c r="E120" s="19">
        <f t="shared" si="4"/>
        <v>137.17753931921655</v>
      </c>
      <c r="F120" s="68">
        <f t="shared" si="5"/>
        <v>-62.246068078345033</v>
      </c>
      <c r="G120" s="11">
        <f t="shared" si="6"/>
        <v>-0.22230738599408939</v>
      </c>
      <c r="H120" s="31">
        <f t="shared" si="7"/>
        <v>135.37</v>
      </c>
    </row>
    <row r="121" spans="4:8" x14ac:dyDescent="0.3">
      <c r="D121">
        <v>19</v>
      </c>
      <c r="E121" s="19">
        <f t="shared" si="4"/>
        <v>137.27795817028414</v>
      </c>
      <c r="F121" s="68">
        <f t="shared" si="5"/>
        <v>-52.204182971586292</v>
      </c>
      <c r="G121" s="11">
        <f t="shared" si="6"/>
        <v>-0.18644351061280817</v>
      </c>
      <c r="H121" s="31">
        <f t="shared" si="7"/>
        <v>135.37</v>
      </c>
    </row>
    <row r="122" spans="4:8" x14ac:dyDescent="0.3">
      <c r="D122">
        <v>20</v>
      </c>
      <c r="E122" s="19">
        <f t="shared" si="4"/>
        <v>137.37837702135172</v>
      </c>
      <c r="F122" s="68">
        <f t="shared" si="5"/>
        <v>-42.162297864827551</v>
      </c>
      <c r="G122" s="11">
        <f t="shared" si="6"/>
        <v>-0.15057963523152695</v>
      </c>
      <c r="H122" s="31">
        <f t="shared" si="7"/>
        <v>135.37</v>
      </c>
    </row>
    <row r="123" spans="4:8" x14ac:dyDescent="0.3">
      <c r="D123">
        <v>21</v>
      </c>
      <c r="E123" s="19">
        <f t="shared" si="4"/>
        <v>137.47879587241931</v>
      </c>
      <c r="F123" s="68">
        <f t="shared" si="5"/>
        <v>-32.120412758068809</v>
      </c>
      <c r="G123" s="11">
        <f t="shared" si="6"/>
        <v>-0.11471575985024575</v>
      </c>
      <c r="H123" s="31">
        <f t="shared" si="7"/>
        <v>135.37</v>
      </c>
    </row>
    <row r="124" spans="4:8" x14ac:dyDescent="0.3">
      <c r="D124">
        <v>22</v>
      </c>
      <c r="E124" s="19">
        <f t="shared" si="4"/>
        <v>137.5792147234869</v>
      </c>
      <c r="F124" s="68">
        <f t="shared" si="5"/>
        <v>-22.078527651310065</v>
      </c>
      <c r="G124" s="11">
        <f t="shared" si="6"/>
        <v>-7.8851884468964517E-2</v>
      </c>
      <c r="H124" s="31">
        <f t="shared" si="7"/>
        <v>135.37</v>
      </c>
    </row>
    <row r="125" spans="4:8" x14ac:dyDescent="0.3">
      <c r="D125">
        <v>23</v>
      </c>
      <c r="E125" s="19">
        <f t="shared" si="4"/>
        <v>137.67963357455449</v>
      </c>
      <c r="F125" s="68">
        <f t="shared" si="5"/>
        <v>-12.036642544551324</v>
      </c>
      <c r="G125" s="11">
        <f t="shared" si="6"/>
        <v>-4.2988009087683299E-2</v>
      </c>
      <c r="H125" s="31">
        <f t="shared" si="7"/>
        <v>135.37</v>
      </c>
    </row>
    <row r="126" spans="4:8" x14ac:dyDescent="0.3">
      <c r="D126">
        <v>24</v>
      </c>
      <c r="E126" s="19">
        <f t="shared" si="4"/>
        <v>137.78005242562207</v>
      </c>
      <c r="F126" s="68">
        <f t="shared" si="5"/>
        <v>-1.9947574377925825</v>
      </c>
      <c r="G126" s="11">
        <f t="shared" si="6"/>
        <v>-7.1241337064020804E-3</v>
      </c>
      <c r="H126" s="31">
        <f t="shared" si="7"/>
        <v>135.37</v>
      </c>
    </row>
    <row r="127" spans="4:8" x14ac:dyDescent="0.3">
      <c r="D127">
        <v>25</v>
      </c>
      <c r="E127" s="19">
        <f t="shared" si="4"/>
        <v>137.88047127668966</v>
      </c>
      <c r="F127" s="68">
        <f t="shared" si="5"/>
        <v>8.0471276689661586</v>
      </c>
      <c r="G127" s="11">
        <f t="shared" si="6"/>
        <v>2.8739741674879138E-2</v>
      </c>
      <c r="H127" s="31">
        <f t="shared" si="7"/>
        <v>135.37</v>
      </c>
    </row>
    <row r="128" spans="4:8" x14ac:dyDescent="0.3">
      <c r="D128">
        <v>26</v>
      </c>
      <c r="E128" s="19">
        <f t="shared" si="4"/>
        <v>137.98089012775725</v>
      </c>
      <c r="F128" s="68">
        <f t="shared" si="5"/>
        <v>18.0890127757249</v>
      </c>
      <c r="G128" s="11">
        <f t="shared" si="6"/>
        <v>6.4603617056160356E-2</v>
      </c>
      <c r="H128" s="31">
        <f t="shared" si="7"/>
        <v>135.37</v>
      </c>
    </row>
    <row r="129" spans="4:8" x14ac:dyDescent="0.3">
      <c r="D129">
        <v>27</v>
      </c>
      <c r="E129" s="19">
        <f t="shared" si="4"/>
        <v>138.08130897882484</v>
      </c>
      <c r="F129" s="68">
        <f t="shared" si="5"/>
        <v>28.130897882483641</v>
      </c>
      <c r="G129" s="11">
        <f t="shared" si="6"/>
        <v>0.10046749243744157</v>
      </c>
      <c r="H129" s="31">
        <f t="shared" si="7"/>
        <v>135.37</v>
      </c>
    </row>
    <row r="130" spans="4:8" x14ac:dyDescent="0.3">
      <c r="D130">
        <v>28</v>
      </c>
      <c r="E130" s="19">
        <f t="shared" ref="E130:E193" si="8">$B$1+D130*$B$7</f>
        <v>138.18172782989242</v>
      </c>
      <c r="F130" s="68">
        <f t="shared" si="5"/>
        <v>38.172782989242378</v>
      </c>
      <c r="G130" s="11">
        <f t="shared" si="6"/>
        <v>0.13633136781872279</v>
      </c>
      <c r="H130" s="31">
        <f t="shared" si="7"/>
        <v>135.37</v>
      </c>
    </row>
    <row r="131" spans="4:8" x14ac:dyDescent="0.3">
      <c r="D131">
        <v>29</v>
      </c>
      <c r="E131" s="19">
        <f t="shared" si="8"/>
        <v>138.28214668096001</v>
      </c>
      <c r="F131" s="68">
        <f t="shared" ref="F131:F194" si="9">IF($B$4="CALL",MAX(E131-$B$2,0)-$B$3,MAX($B$2-E131,0)-$B$3)*$B$9</f>
        <v>48.21466809600112</v>
      </c>
      <c r="G131" s="11">
        <f t="shared" ref="G131:G194" si="10">F131/$B$10</f>
        <v>0.17219524320000401</v>
      </c>
      <c r="H131" s="31">
        <f t="shared" ref="H131:H194" si="11">$B$1</f>
        <v>135.37</v>
      </c>
    </row>
    <row r="132" spans="4:8" x14ac:dyDescent="0.3">
      <c r="D132">
        <v>30</v>
      </c>
      <c r="E132" s="19">
        <f t="shared" si="8"/>
        <v>138.3825655320276</v>
      </c>
      <c r="F132" s="68">
        <f t="shared" si="9"/>
        <v>58.256553202759861</v>
      </c>
      <c r="G132" s="11">
        <f t="shared" si="10"/>
        <v>0.20805911858128523</v>
      </c>
      <c r="H132" s="31">
        <f t="shared" si="11"/>
        <v>135.37</v>
      </c>
    </row>
    <row r="133" spans="4:8" x14ac:dyDescent="0.3">
      <c r="D133">
        <v>31</v>
      </c>
      <c r="E133" s="19">
        <f t="shared" si="8"/>
        <v>138.48298438309519</v>
      </c>
      <c r="F133" s="68">
        <f t="shared" si="9"/>
        <v>68.298438309518602</v>
      </c>
      <c r="G133" s="11">
        <f t="shared" si="10"/>
        <v>0.24392299396256645</v>
      </c>
      <c r="H133" s="31">
        <f t="shared" si="11"/>
        <v>135.37</v>
      </c>
    </row>
    <row r="134" spans="4:8" x14ac:dyDescent="0.3">
      <c r="D134">
        <v>32</v>
      </c>
      <c r="E134" s="19">
        <f t="shared" si="8"/>
        <v>138.58340323416277</v>
      </c>
      <c r="F134" s="68">
        <f t="shared" si="9"/>
        <v>78.340323416277343</v>
      </c>
      <c r="G134" s="11">
        <f t="shared" si="10"/>
        <v>0.27978686934384767</v>
      </c>
      <c r="H134" s="31">
        <f t="shared" si="11"/>
        <v>135.37</v>
      </c>
    </row>
    <row r="135" spans="4:8" x14ac:dyDescent="0.3">
      <c r="D135">
        <v>33</v>
      </c>
      <c r="E135" s="19">
        <f t="shared" si="8"/>
        <v>138.68382208523036</v>
      </c>
      <c r="F135" s="68">
        <f t="shared" si="9"/>
        <v>88.382208523036084</v>
      </c>
      <c r="G135" s="11">
        <f t="shared" si="10"/>
        <v>0.31565074472512888</v>
      </c>
      <c r="H135" s="31">
        <f t="shared" si="11"/>
        <v>135.37</v>
      </c>
    </row>
    <row r="136" spans="4:8" x14ac:dyDescent="0.3">
      <c r="D136">
        <v>34</v>
      </c>
      <c r="E136" s="19">
        <f t="shared" si="8"/>
        <v>138.78424093629795</v>
      </c>
      <c r="F136" s="68">
        <f t="shared" si="9"/>
        <v>98.424093629794825</v>
      </c>
      <c r="G136" s="11">
        <f t="shared" si="10"/>
        <v>0.3515146201064101</v>
      </c>
      <c r="H136" s="31">
        <f t="shared" si="11"/>
        <v>135.37</v>
      </c>
    </row>
    <row r="137" spans="4:8" x14ac:dyDescent="0.3">
      <c r="D137">
        <v>35</v>
      </c>
      <c r="E137" s="19">
        <f t="shared" si="8"/>
        <v>138.88465978736554</v>
      </c>
      <c r="F137" s="68">
        <f t="shared" si="9"/>
        <v>108.46597873655357</v>
      </c>
      <c r="G137" s="11">
        <f t="shared" si="10"/>
        <v>0.38737849548769132</v>
      </c>
      <c r="H137" s="31">
        <f t="shared" si="11"/>
        <v>135.37</v>
      </c>
    </row>
    <row r="138" spans="4:8" x14ac:dyDescent="0.3">
      <c r="D138">
        <v>36</v>
      </c>
      <c r="E138" s="19">
        <f t="shared" si="8"/>
        <v>138.98507863843312</v>
      </c>
      <c r="F138" s="68">
        <f t="shared" si="9"/>
        <v>118.50786384331231</v>
      </c>
      <c r="G138" s="11">
        <f t="shared" si="10"/>
        <v>0.42324237086897254</v>
      </c>
      <c r="H138" s="31">
        <f t="shared" si="11"/>
        <v>135.37</v>
      </c>
    </row>
    <row r="139" spans="4:8" x14ac:dyDescent="0.3">
      <c r="D139">
        <v>37</v>
      </c>
      <c r="E139" s="19">
        <f t="shared" si="8"/>
        <v>139.08549748950071</v>
      </c>
      <c r="F139" s="68">
        <f t="shared" si="9"/>
        <v>128.54974895007106</v>
      </c>
      <c r="G139" s="11">
        <f t="shared" si="10"/>
        <v>0.45910624625025381</v>
      </c>
      <c r="H139" s="31">
        <f t="shared" si="11"/>
        <v>135.37</v>
      </c>
    </row>
    <row r="140" spans="4:8" x14ac:dyDescent="0.3">
      <c r="D140">
        <v>38</v>
      </c>
      <c r="E140" s="19">
        <f t="shared" si="8"/>
        <v>139.1859163405683</v>
      </c>
      <c r="F140" s="68">
        <f t="shared" si="9"/>
        <v>138.5916340568298</v>
      </c>
      <c r="G140" s="11">
        <f t="shared" si="10"/>
        <v>0.49497012163153503</v>
      </c>
      <c r="H140" s="31">
        <f t="shared" si="11"/>
        <v>135.37</v>
      </c>
    </row>
    <row r="141" spans="4:8" x14ac:dyDescent="0.3">
      <c r="D141">
        <v>39</v>
      </c>
      <c r="E141" s="19">
        <f t="shared" si="8"/>
        <v>139.28633519163589</v>
      </c>
      <c r="F141" s="68">
        <f t="shared" si="9"/>
        <v>148.63351916358855</v>
      </c>
      <c r="G141" s="11">
        <f t="shared" si="10"/>
        <v>0.53083399701281619</v>
      </c>
      <c r="H141" s="31">
        <f t="shared" si="11"/>
        <v>135.37</v>
      </c>
    </row>
    <row r="142" spans="4:8" x14ac:dyDescent="0.3">
      <c r="D142">
        <v>40</v>
      </c>
      <c r="E142" s="19">
        <f t="shared" si="8"/>
        <v>139.38675404270347</v>
      </c>
      <c r="F142" s="68">
        <f t="shared" si="9"/>
        <v>158.67540427034729</v>
      </c>
      <c r="G142" s="11">
        <f t="shared" si="10"/>
        <v>0.56669787239409741</v>
      </c>
      <c r="H142" s="31">
        <f t="shared" si="11"/>
        <v>135.37</v>
      </c>
    </row>
    <row r="143" spans="4:8" x14ac:dyDescent="0.3">
      <c r="D143">
        <v>41</v>
      </c>
      <c r="E143" s="19">
        <f t="shared" si="8"/>
        <v>139.48717289377106</v>
      </c>
      <c r="F143" s="68">
        <f t="shared" si="9"/>
        <v>168.71728937710603</v>
      </c>
      <c r="G143" s="11">
        <f t="shared" si="10"/>
        <v>0.60256174777537863</v>
      </c>
      <c r="H143" s="31">
        <f t="shared" si="11"/>
        <v>135.37</v>
      </c>
    </row>
    <row r="144" spans="4:8" x14ac:dyDescent="0.3">
      <c r="D144">
        <v>42</v>
      </c>
      <c r="E144" s="19">
        <f t="shared" si="8"/>
        <v>139.58759174483865</v>
      </c>
      <c r="F144" s="68">
        <f t="shared" si="9"/>
        <v>178.75917448386477</v>
      </c>
      <c r="G144" s="11">
        <f t="shared" si="10"/>
        <v>0.63842562315665985</v>
      </c>
      <c r="H144" s="31">
        <f t="shared" si="11"/>
        <v>135.37</v>
      </c>
    </row>
    <row r="145" spans="4:8" x14ac:dyDescent="0.3">
      <c r="D145">
        <v>43</v>
      </c>
      <c r="E145" s="19">
        <f t="shared" si="8"/>
        <v>139.68801059590623</v>
      </c>
      <c r="F145" s="68">
        <f t="shared" si="9"/>
        <v>188.80105959062351</v>
      </c>
      <c r="G145" s="11">
        <f t="shared" si="10"/>
        <v>0.67428949853794107</v>
      </c>
      <c r="H145" s="31">
        <f t="shared" si="11"/>
        <v>135.37</v>
      </c>
    </row>
    <row r="146" spans="4:8" x14ac:dyDescent="0.3">
      <c r="D146">
        <v>44</v>
      </c>
      <c r="E146" s="19">
        <f t="shared" si="8"/>
        <v>139.78842944697382</v>
      </c>
      <c r="F146" s="68">
        <f t="shared" si="9"/>
        <v>198.84294469738225</v>
      </c>
      <c r="G146" s="11">
        <f t="shared" si="10"/>
        <v>0.71015337391922229</v>
      </c>
      <c r="H146" s="31">
        <f t="shared" si="11"/>
        <v>135.37</v>
      </c>
    </row>
    <row r="147" spans="4:8" x14ac:dyDescent="0.3">
      <c r="D147">
        <v>45</v>
      </c>
      <c r="E147" s="19">
        <f t="shared" si="8"/>
        <v>139.88884829804141</v>
      </c>
      <c r="F147" s="68">
        <f t="shared" si="9"/>
        <v>208.88482980414099</v>
      </c>
      <c r="G147" s="11">
        <f t="shared" si="10"/>
        <v>0.7460172493005035</v>
      </c>
      <c r="H147" s="31">
        <f t="shared" si="11"/>
        <v>135.37</v>
      </c>
    </row>
    <row r="148" spans="4:8" x14ac:dyDescent="0.3">
      <c r="D148">
        <v>46</v>
      </c>
      <c r="E148" s="19">
        <f t="shared" si="8"/>
        <v>139.989267149109</v>
      </c>
      <c r="F148" s="68">
        <f t="shared" si="9"/>
        <v>218.92671491089973</v>
      </c>
      <c r="G148" s="11">
        <f t="shared" si="10"/>
        <v>0.78188112468178472</v>
      </c>
      <c r="H148" s="31">
        <f t="shared" si="11"/>
        <v>135.37</v>
      </c>
    </row>
    <row r="149" spans="4:8" x14ac:dyDescent="0.3">
      <c r="D149">
        <v>47</v>
      </c>
      <c r="E149" s="19">
        <f t="shared" si="8"/>
        <v>140.08968600017658</v>
      </c>
      <c r="F149" s="68">
        <f t="shared" si="9"/>
        <v>228.96860001765847</v>
      </c>
      <c r="G149" s="11">
        <f t="shared" si="10"/>
        <v>0.81774500006306594</v>
      </c>
      <c r="H149" s="31">
        <f t="shared" si="11"/>
        <v>135.37</v>
      </c>
    </row>
    <row r="150" spans="4:8" x14ac:dyDescent="0.3">
      <c r="D150">
        <v>48</v>
      </c>
      <c r="E150" s="19">
        <f t="shared" si="8"/>
        <v>140.19010485124417</v>
      </c>
      <c r="F150" s="68">
        <f t="shared" si="9"/>
        <v>239.01048512441722</v>
      </c>
      <c r="G150" s="11">
        <f t="shared" si="10"/>
        <v>0.85360887544434716</v>
      </c>
      <c r="H150" s="31">
        <f t="shared" si="11"/>
        <v>135.37</v>
      </c>
    </row>
    <row r="151" spans="4:8" x14ac:dyDescent="0.3">
      <c r="D151">
        <v>49</v>
      </c>
      <c r="E151" s="19">
        <f t="shared" si="8"/>
        <v>140.29052370231176</v>
      </c>
      <c r="F151" s="68">
        <f t="shared" si="9"/>
        <v>249.05237023117596</v>
      </c>
      <c r="G151" s="11">
        <f t="shared" si="10"/>
        <v>0.88947275082562838</v>
      </c>
      <c r="H151" s="31">
        <f t="shared" si="11"/>
        <v>135.37</v>
      </c>
    </row>
    <row r="152" spans="4:8" x14ac:dyDescent="0.3">
      <c r="D152">
        <v>50</v>
      </c>
      <c r="E152" s="19">
        <f t="shared" si="8"/>
        <v>140.39094255337932</v>
      </c>
      <c r="F152" s="68">
        <f t="shared" si="9"/>
        <v>259.09425533793183</v>
      </c>
      <c r="G152" s="11">
        <f t="shared" si="10"/>
        <v>0.92533662620689938</v>
      </c>
      <c r="H152" s="31">
        <f t="shared" si="11"/>
        <v>135.37</v>
      </c>
    </row>
    <row r="153" spans="4:8" x14ac:dyDescent="0.3">
      <c r="D153">
        <v>51</v>
      </c>
      <c r="E153" s="19">
        <f t="shared" si="8"/>
        <v>140.49136140444691</v>
      </c>
      <c r="F153" s="68">
        <f t="shared" si="9"/>
        <v>269.13614044469057</v>
      </c>
      <c r="G153" s="11">
        <f t="shared" si="10"/>
        <v>0.9612005015881806</v>
      </c>
      <c r="H153" s="31">
        <f t="shared" si="11"/>
        <v>135.37</v>
      </c>
    </row>
    <row r="154" spans="4:8" x14ac:dyDescent="0.3">
      <c r="D154">
        <v>52</v>
      </c>
      <c r="E154" s="19">
        <f t="shared" si="8"/>
        <v>140.59178025551449</v>
      </c>
      <c r="F154" s="68">
        <f t="shared" si="9"/>
        <v>279.17802555144931</v>
      </c>
      <c r="G154" s="11">
        <f t="shared" si="10"/>
        <v>0.99706437696946182</v>
      </c>
      <c r="H154" s="31">
        <f t="shared" si="11"/>
        <v>135.37</v>
      </c>
    </row>
    <row r="155" spans="4:8" x14ac:dyDescent="0.3">
      <c r="D155">
        <v>53</v>
      </c>
      <c r="E155" s="19">
        <f t="shared" si="8"/>
        <v>140.69219910658208</v>
      </c>
      <c r="F155" s="68">
        <f t="shared" si="9"/>
        <v>289.21991065820805</v>
      </c>
      <c r="G155" s="11">
        <f t="shared" si="10"/>
        <v>1.032928252350743</v>
      </c>
      <c r="H155" s="31">
        <f t="shared" si="11"/>
        <v>135.37</v>
      </c>
    </row>
    <row r="156" spans="4:8" x14ac:dyDescent="0.3">
      <c r="D156">
        <v>54</v>
      </c>
      <c r="E156" s="19">
        <f t="shared" si="8"/>
        <v>140.79261795764967</v>
      </c>
      <c r="F156" s="68">
        <f t="shared" si="9"/>
        <v>299.26179576496679</v>
      </c>
      <c r="G156" s="11">
        <f t="shared" si="10"/>
        <v>1.0687921277320243</v>
      </c>
      <c r="H156" s="31">
        <f t="shared" si="11"/>
        <v>135.37</v>
      </c>
    </row>
    <row r="157" spans="4:8" x14ac:dyDescent="0.3">
      <c r="D157">
        <v>55</v>
      </c>
      <c r="E157" s="19">
        <f t="shared" si="8"/>
        <v>140.89303680871726</v>
      </c>
      <c r="F157" s="68">
        <f t="shared" si="9"/>
        <v>309.30368087172553</v>
      </c>
      <c r="G157" s="11">
        <f t="shared" si="10"/>
        <v>1.1046560031133055</v>
      </c>
      <c r="H157" s="31">
        <f t="shared" si="11"/>
        <v>135.37</v>
      </c>
    </row>
    <row r="158" spans="4:8" x14ac:dyDescent="0.3">
      <c r="D158">
        <v>56</v>
      </c>
      <c r="E158" s="19">
        <f t="shared" si="8"/>
        <v>140.99345565978484</v>
      </c>
      <c r="F158" s="68">
        <f t="shared" si="9"/>
        <v>319.34556597848427</v>
      </c>
      <c r="G158" s="11">
        <f t="shared" si="10"/>
        <v>1.1405198784945867</v>
      </c>
      <c r="H158" s="31">
        <f t="shared" si="11"/>
        <v>135.37</v>
      </c>
    </row>
    <row r="159" spans="4:8" x14ac:dyDescent="0.3">
      <c r="D159">
        <v>57</v>
      </c>
      <c r="E159" s="19">
        <f t="shared" si="8"/>
        <v>141.09387451085243</v>
      </c>
      <c r="F159" s="68">
        <f t="shared" si="9"/>
        <v>329.38745108524301</v>
      </c>
      <c r="G159" s="11">
        <f t="shared" si="10"/>
        <v>1.1763837538758679</v>
      </c>
      <c r="H159" s="31">
        <f t="shared" si="11"/>
        <v>135.37</v>
      </c>
    </row>
    <row r="160" spans="4:8" x14ac:dyDescent="0.3">
      <c r="D160">
        <v>58</v>
      </c>
      <c r="E160" s="19">
        <f t="shared" si="8"/>
        <v>141.19429336192002</v>
      </c>
      <c r="F160" s="68">
        <f t="shared" si="9"/>
        <v>339.42933619200176</v>
      </c>
      <c r="G160" s="11">
        <f t="shared" si="10"/>
        <v>1.2122476292571491</v>
      </c>
      <c r="H160" s="31">
        <f t="shared" si="11"/>
        <v>135.37</v>
      </c>
    </row>
    <row r="161" spans="4:8" x14ac:dyDescent="0.3">
      <c r="D161">
        <v>59</v>
      </c>
      <c r="E161" s="19">
        <f t="shared" si="8"/>
        <v>141.2947122129876</v>
      </c>
      <c r="F161" s="68">
        <f t="shared" si="9"/>
        <v>349.4712212987605</v>
      </c>
      <c r="G161" s="11">
        <f t="shared" si="10"/>
        <v>1.2481115046384303</v>
      </c>
      <c r="H161" s="31">
        <f t="shared" si="11"/>
        <v>135.37</v>
      </c>
    </row>
    <row r="162" spans="4:8" x14ac:dyDescent="0.3">
      <c r="D162">
        <v>60</v>
      </c>
      <c r="E162" s="19">
        <f t="shared" si="8"/>
        <v>141.39513106405519</v>
      </c>
      <c r="F162" s="68">
        <f t="shared" si="9"/>
        <v>359.51310640551924</v>
      </c>
      <c r="G162" s="11">
        <f t="shared" si="10"/>
        <v>1.2839753800197116</v>
      </c>
      <c r="H162" s="31">
        <f t="shared" si="11"/>
        <v>135.37</v>
      </c>
    </row>
    <row r="163" spans="4:8" x14ac:dyDescent="0.3">
      <c r="D163">
        <v>61</v>
      </c>
      <c r="E163" s="19">
        <f t="shared" si="8"/>
        <v>141.49554991512278</v>
      </c>
      <c r="F163" s="68">
        <f t="shared" si="9"/>
        <v>369.55499151227798</v>
      </c>
      <c r="G163" s="11">
        <f t="shared" si="10"/>
        <v>1.3198392554009928</v>
      </c>
      <c r="H163" s="31">
        <f t="shared" si="11"/>
        <v>135.37</v>
      </c>
    </row>
    <row r="164" spans="4:8" x14ac:dyDescent="0.3">
      <c r="D164">
        <v>62</v>
      </c>
      <c r="E164" s="19">
        <f t="shared" si="8"/>
        <v>141.59596876619037</v>
      </c>
      <c r="F164" s="68">
        <f t="shared" si="9"/>
        <v>379.59687661903672</v>
      </c>
      <c r="G164" s="11">
        <f t="shared" si="10"/>
        <v>1.355703130782274</v>
      </c>
      <c r="H164" s="31">
        <f t="shared" si="11"/>
        <v>135.37</v>
      </c>
    </row>
    <row r="165" spans="4:8" x14ac:dyDescent="0.3">
      <c r="D165">
        <v>63</v>
      </c>
      <c r="E165" s="19">
        <f t="shared" si="8"/>
        <v>141.69638761725795</v>
      </c>
      <c r="F165" s="68">
        <f t="shared" si="9"/>
        <v>389.63876172579546</v>
      </c>
      <c r="G165" s="11">
        <f t="shared" si="10"/>
        <v>1.3915670061635552</v>
      </c>
      <c r="H165" s="31">
        <f t="shared" si="11"/>
        <v>135.37</v>
      </c>
    </row>
    <row r="166" spans="4:8" x14ac:dyDescent="0.3">
      <c r="D166">
        <v>64</v>
      </c>
      <c r="E166" s="19">
        <f t="shared" si="8"/>
        <v>141.79680646832554</v>
      </c>
      <c r="F166" s="68">
        <f t="shared" si="9"/>
        <v>399.6806468325542</v>
      </c>
      <c r="G166" s="11">
        <f t="shared" si="10"/>
        <v>1.4274308815448364</v>
      </c>
      <c r="H166" s="31">
        <f t="shared" si="11"/>
        <v>135.37</v>
      </c>
    </row>
    <row r="167" spans="4:8" x14ac:dyDescent="0.3">
      <c r="D167">
        <v>65</v>
      </c>
      <c r="E167" s="19">
        <f t="shared" si="8"/>
        <v>141.89722531939313</v>
      </c>
      <c r="F167" s="68">
        <f t="shared" si="9"/>
        <v>409.72253193931294</v>
      </c>
      <c r="G167" s="11">
        <f t="shared" si="10"/>
        <v>1.4632947569261177</v>
      </c>
      <c r="H167" s="31">
        <f t="shared" si="11"/>
        <v>135.37</v>
      </c>
    </row>
    <row r="168" spans="4:8" x14ac:dyDescent="0.3">
      <c r="D168">
        <v>66</v>
      </c>
      <c r="E168" s="19">
        <f t="shared" si="8"/>
        <v>141.99764417046072</v>
      </c>
      <c r="F168" s="68">
        <f t="shared" si="9"/>
        <v>419.76441704607169</v>
      </c>
      <c r="G168" s="11">
        <f t="shared" si="10"/>
        <v>1.4991586323073989</v>
      </c>
      <c r="H168" s="31">
        <f t="shared" si="11"/>
        <v>135.37</v>
      </c>
    </row>
    <row r="169" spans="4:8" x14ac:dyDescent="0.3">
      <c r="D169">
        <v>67</v>
      </c>
      <c r="E169" s="19">
        <f t="shared" si="8"/>
        <v>142.0980630215283</v>
      </c>
      <c r="F169" s="68">
        <f t="shared" si="9"/>
        <v>429.80630215283043</v>
      </c>
      <c r="G169" s="11">
        <f t="shared" si="10"/>
        <v>1.5350225076886801</v>
      </c>
      <c r="H169" s="31">
        <f t="shared" si="11"/>
        <v>135.37</v>
      </c>
    </row>
    <row r="170" spans="4:8" x14ac:dyDescent="0.3">
      <c r="D170">
        <v>68</v>
      </c>
      <c r="E170" s="19">
        <f t="shared" si="8"/>
        <v>142.19848187259589</v>
      </c>
      <c r="F170" s="68">
        <f t="shared" si="9"/>
        <v>439.84818725958917</v>
      </c>
      <c r="G170" s="11">
        <f t="shared" si="10"/>
        <v>1.5708863830699613</v>
      </c>
      <c r="H170" s="31">
        <f t="shared" si="11"/>
        <v>135.37</v>
      </c>
    </row>
    <row r="171" spans="4:8" x14ac:dyDescent="0.3">
      <c r="D171">
        <v>69</v>
      </c>
      <c r="E171" s="19">
        <f t="shared" si="8"/>
        <v>142.29890072366348</v>
      </c>
      <c r="F171" s="68">
        <f t="shared" si="9"/>
        <v>449.89007236634791</v>
      </c>
      <c r="G171" s="11">
        <f t="shared" si="10"/>
        <v>1.6067502584512425</v>
      </c>
      <c r="H171" s="31">
        <f t="shared" si="11"/>
        <v>135.37</v>
      </c>
    </row>
    <row r="172" spans="4:8" x14ac:dyDescent="0.3">
      <c r="D172">
        <v>70</v>
      </c>
      <c r="E172" s="19">
        <f t="shared" si="8"/>
        <v>142.39931957473107</v>
      </c>
      <c r="F172" s="68">
        <f t="shared" si="9"/>
        <v>459.93195747310665</v>
      </c>
      <c r="G172" s="11">
        <f t="shared" si="10"/>
        <v>1.6426141338325237</v>
      </c>
      <c r="H172" s="31">
        <f t="shared" si="11"/>
        <v>135.37</v>
      </c>
    </row>
    <row r="173" spans="4:8" x14ac:dyDescent="0.3">
      <c r="D173">
        <v>71</v>
      </c>
      <c r="E173" s="19">
        <f t="shared" si="8"/>
        <v>142.49973842579865</v>
      </c>
      <c r="F173" s="68">
        <f t="shared" si="9"/>
        <v>469.97384257986539</v>
      </c>
      <c r="G173" s="11">
        <f t="shared" si="10"/>
        <v>1.678478009213805</v>
      </c>
      <c r="H173" s="31">
        <f t="shared" si="11"/>
        <v>135.37</v>
      </c>
    </row>
    <row r="174" spans="4:8" x14ac:dyDescent="0.3">
      <c r="D174">
        <v>72</v>
      </c>
      <c r="E174" s="19">
        <f t="shared" si="8"/>
        <v>142.60015727686624</v>
      </c>
      <c r="F174" s="68">
        <f t="shared" si="9"/>
        <v>480.01572768662413</v>
      </c>
      <c r="G174" s="11">
        <f t="shared" si="10"/>
        <v>1.7143418845950862</v>
      </c>
      <c r="H174" s="31">
        <f t="shared" si="11"/>
        <v>135.37</v>
      </c>
    </row>
    <row r="175" spans="4:8" x14ac:dyDescent="0.3">
      <c r="D175">
        <v>73</v>
      </c>
      <c r="E175" s="19">
        <f t="shared" si="8"/>
        <v>142.70057612793383</v>
      </c>
      <c r="F175" s="68">
        <f t="shared" si="9"/>
        <v>490.05761279338287</v>
      </c>
      <c r="G175" s="11">
        <f t="shared" si="10"/>
        <v>1.7502057599763674</v>
      </c>
      <c r="H175" s="31">
        <f t="shared" si="11"/>
        <v>135.37</v>
      </c>
    </row>
    <row r="176" spans="4:8" x14ac:dyDescent="0.3">
      <c r="D176">
        <v>74</v>
      </c>
      <c r="E176" s="19">
        <f t="shared" si="8"/>
        <v>142.80099497900142</v>
      </c>
      <c r="F176" s="68">
        <f t="shared" si="9"/>
        <v>500.09949790014161</v>
      </c>
      <c r="G176" s="11">
        <f t="shared" si="10"/>
        <v>1.7860696353576486</v>
      </c>
      <c r="H176" s="31">
        <f t="shared" si="11"/>
        <v>135.37</v>
      </c>
    </row>
    <row r="177" spans="4:8" x14ac:dyDescent="0.3">
      <c r="D177">
        <v>75</v>
      </c>
      <c r="E177" s="19">
        <f t="shared" si="8"/>
        <v>142.901413830069</v>
      </c>
      <c r="F177" s="68">
        <f t="shared" si="9"/>
        <v>510.14138300690036</v>
      </c>
      <c r="G177" s="11">
        <f t="shared" si="10"/>
        <v>1.8219335107389298</v>
      </c>
      <c r="H177" s="31">
        <f t="shared" si="11"/>
        <v>135.37</v>
      </c>
    </row>
    <row r="178" spans="4:8" x14ac:dyDescent="0.3">
      <c r="D178">
        <v>76</v>
      </c>
      <c r="E178" s="19">
        <f t="shared" si="8"/>
        <v>143.00183268113659</v>
      </c>
      <c r="F178" s="68">
        <f t="shared" si="9"/>
        <v>520.1832681136591</v>
      </c>
      <c r="G178" s="11">
        <f t="shared" si="10"/>
        <v>1.8577973861202111</v>
      </c>
      <c r="H178" s="31">
        <f t="shared" si="11"/>
        <v>135.37</v>
      </c>
    </row>
    <row r="179" spans="4:8" x14ac:dyDescent="0.3">
      <c r="D179">
        <v>77</v>
      </c>
      <c r="E179" s="19">
        <f t="shared" si="8"/>
        <v>143.10225153220418</v>
      </c>
      <c r="F179" s="68">
        <f t="shared" si="9"/>
        <v>530.22515322041784</v>
      </c>
      <c r="G179" s="11">
        <f t="shared" si="10"/>
        <v>1.8936612615014923</v>
      </c>
      <c r="H179" s="31">
        <f t="shared" si="11"/>
        <v>135.37</v>
      </c>
    </row>
    <row r="180" spans="4:8" x14ac:dyDescent="0.3">
      <c r="D180">
        <v>78</v>
      </c>
      <c r="E180" s="19">
        <f t="shared" si="8"/>
        <v>143.20267038327177</v>
      </c>
      <c r="F180" s="68">
        <f t="shared" si="9"/>
        <v>540.26703832717658</v>
      </c>
      <c r="G180" s="11">
        <f t="shared" si="10"/>
        <v>1.9295251368827735</v>
      </c>
      <c r="H180" s="31">
        <f t="shared" si="11"/>
        <v>135.37</v>
      </c>
    </row>
    <row r="181" spans="4:8" x14ac:dyDescent="0.3">
      <c r="D181">
        <v>79</v>
      </c>
      <c r="E181" s="19">
        <f t="shared" si="8"/>
        <v>143.30308923433935</v>
      </c>
      <c r="F181" s="68">
        <f t="shared" si="9"/>
        <v>550.30892343393532</v>
      </c>
      <c r="G181" s="11">
        <f t="shared" si="10"/>
        <v>1.9653890122640547</v>
      </c>
      <c r="H181" s="31">
        <f t="shared" si="11"/>
        <v>135.37</v>
      </c>
    </row>
    <row r="182" spans="4:8" x14ac:dyDescent="0.3">
      <c r="D182">
        <v>80</v>
      </c>
      <c r="E182" s="19">
        <f t="shared" si="8"/>
        <v>143.40350808540694</v>
      </c>
      <c r="F182" s="68">
        <f t="shared" si="9"/>
        <v>560.35080854069406</v>
      </c>
      <c r="G182" s="11">
        <f t="shared" si="10"/>
        <v>2.0012528876453359</v>
      </c>
      <c r="H182" s="31">
        <f t="shared" si="11"/>
        <v>135.37</v>
      </c>
    </row>
    <row r="183" spans="4:8" x14ac:dyDescent="0.3">
      <c r="D183">
        <v>81</v>
      </c>
      <c r="E183" s="19">
        <f t="shared" si="8"/>
        <v>143.50392693647453</v>
      </c>
      <c r="F183" s="68">
        <f t="shared" si="9"/>
        <v>570.3926936474528</v>
      </c>
      <c r="G183" s="11">
        <f t="shared" si="10"/>
        <v>2.0371167630266171</v>
      </c>
      <c r="H183" s="31">
        <f t="shared" si="11"/>
        <v>135.37</v>
      </c>
    </row>
    <row r="184" spans="4:8" x14ac:dyDescent="0.3">
      <c r="D184">
        <v>82</v>
      </c>
      <c r="E184" s="19">
        <f t="shared" si="8"/>
        <v>143.60434578754212</v>
      </c>
      <c r="F184" s="68">
        <f t="shared" si="9"/>
        <v>580.43457875421154</v>
      </c>
      <c r="G184" s="11">
        <f t="shared" si="10"/>
        <v>2.0729806384078984</v>
      </c>
      <c r="H184" s="31">
        <f t="shared" si="11"/>
        <v>135.37</v>
      </c>
    </row>
    <row r="185" spans="4:8" x14ac:dyDescent="0.3">
      <c r="D185">
        <v>83</v>
      </c>
      <c r="E185" s="19">
        <f t="shared" si="8"/>
        <v>143.70476463860967</v>
      </c>
      <c r="F185" s="68">
        <f t="shared" si="9"/>
        <v>590.47646386096744</v>
      </c>
      <c r="G185" s="11">
        <f t="shared" si="10"/>
        <v>2.1088445137891694</v>
      </c>
      <c r="H185" s="31">
        <f t="shared" si="11"/>
        <v>135.37</v>
      </c>
    </row>
    <row r="186" spans="4:8" x14ac:dyDescent="0.3">
      <c r="D186">
        <v>84</v>
      </c>
      <c r="E186" s="19">
        <f t="shared" si="8"/>
        <v>143.80518348967729</v>
      </c>
      <c r="F186" s="68">
        <f t="shared" si="9"/>
        <v>600.51834896772903</v>
      </c>
      <c r="G186" s="11">
        <f t="shared" si="10"/>
        <v>2.1447083891704608</v>
      </c>
      <c r="H186" s="31">
        <f t="shared" si="11"/>
        <v>135.37</v>
      </c>
    </row>
    <row r="187" spans="4:8" x14ac:dyDescent="0.3">
      <c r="D187">
        <v>85</v>
      </c>
      <c r="E187" s="19">
        <f t="shared" si="8"/>
        <v>143.90560234074485</v>
      </c>
      <c r="F187" s="68">
        <f t="shared" si="9"/>
        <v>610.56023407448492</v>
      </c>
      <c r="G187" s="11">
        <f t="shared" si="10"/>
        <v>2.1805722645517318</v>
      </c>
      <c r="H187" s="31">
        <f t="shared" si="11"/>
        <v>135.37</v>
      </c>
    </row>
    <row r="188" spans="4:8" x14ac:dyDescent="0.3">
      <c r="D188">
        <v>86</v>
      </c>
      <c r="E188" s="19">
        <f t="shared" si="8"/>
        <v>144.00602119181244</v>
      </c>
      <c r="F188" s="68">
        <f t="shared" si="9"/>
        <v>620.60211918124367</v>
      </c>
      <c r="G188" s="11">
        <f t="shared" si="10"/>
        <v>2.216436139933013</v>
      </c>
      <c r="H188" s="31">
        <f t="shared" si="11"/>
        <v>135.37</v>
      </c>
    </row>
    <row r="189" spans="4:8" x14ac:dyDescent="0.3">
      <c r="D189">
        <v>87</v>
      </c>
      <c r="E189" s="19">
        <f t="shared" si="8"/>
        <v>144.10644004288002</v>
      </c>
      <c r="F189" s="68">
        <f t="shared" si="9"/>
        <v>630.64400428800241</v>
      </c>
      <c r="G189" s="11">
        <f t="shared" si="10"/>
        <v>2.2523000153142942</v>
      </c>
      <c r="H189" s="31">
        <f t="shared" si="11"/>
        <v>135.37</v>
      </c>
    </row>
    <row r="190" spans="4:8" x14ac:dyDescent="0.3">
      <c r="D190">
        <v>88</v>
      </c>
      <c r="E190" s="19">
        <f t="shared" si="8"/>
        <v>144.20685889394761</v>
      </c>
      <c r="F190" s="68">
        <f t="shared" si="9"/>
        <v>640.68588939476115</v>
      </c>
      <c r="G190" s="11">
        <f t="shared" si="10"/>
        <v>2.2881638906955755</v>
      </c>
      <c r="H190" s="31">
        <f t="shared" si="11"/>
        <v>135.37</v>
      </c>
    </row>
    <row r="191" spans="4:8" x14ac:dyDescent="0.3">
      <c r="D191">
        <v>89</v>
      </c>
      <c r="E191" s="19">
        <f t="shared" si="8"/>
        <v>144.3072777450152</v>
      </c>
      <c r="F191" s="68">
        <f t="shared" si="9"/>
        <v>650.72777450151989</v>
      </c>
      <c r="G191" s="11">
        <f t="shared" si="10"/>
        <v>2.3240277660768567</v>
      </c>
      <c r="H191" s="31">
        <f t="shared" si="11"/>
        <v>135.37</v>
      </c>
    </row>
    <row r="192" spans="4:8" x14ac:dyDescent="0.3">
      <c r="D192">
        <v>90</v>
      </c>
      <c r="E192" s="19">
        <f t="shared" si="8"/>
        <v>144.40769659608279</v>
      </c>
      <c r="F192" s="68">
        <f t="shared" si="9"/>
        <v>660.76965960827863</v>
      </c>
      <c r="G192" s="11">
        <f t="shared" si="10"/>
        <v>2.3598916414581379</v>
      </c>
      <c r="H192" s="31">
        <f t="shared" si="11"/>
        <v>135.37</v>
      </c>
    </row>
    <row r="193" spans="4:8" x14ac:dyDescent="0.3">
      <c r="D193">
        <v>91</v>
      </c>
      <c r="E193" s="19">
        <f t="shared" si="8"/>
        <v>144.50811544715037</v>
      </c>
      <c r="F193" s="68">
        <f t="shared" si="9"/>
        <v>670.81154471503737</v>
      </c>
      <c r="G193" s="11">
        <f t="shared" si="10"/>
        <v>2.3957555168394191</v>
      </c>
      <c r="H193" s="31">
        <f t="shared" si="11"/>
        <v>135.37</v>
      </c>
    </row>
    <row r="194" spans="4:8" x14ac:dyDescent="0.3">
      <c r="D194">
        <v>92</v>
      </c>
      <c r="E194" s="19">
        <f t="shared" ref="E194:E202" si="12">$B$1+D194*$B$7</f>
        <v>144.60853429821796</v>
      </c>
      <c r="F194" s="68">
        <f t="shared" si="9"/>
        <v>680.85342982179611</v>
      </c>
      <c r="G194" s="11">
        <f t="shared" si="10"/>
        <v>2.4316193922207003</v>
      </c>
      <c r="H194" s="31">
        <f t="shared" si="11"/>
        <v>135.37</v>
      </c>
    </row>
    <row r="195" spans="4:8" x14ac:dyDescent="0.3">
      <c r="D195">
        <v>93</v>
      </c>
      <c r="E195" s="19">
        <f t="shared" si="12"/>
        <v>144.70895314928555</v>
      </c>
      <c r="F195" s="68">
        <f t="shared" ref="F195:F202" si="13">IF($B$4="CALL",MAX(E195-$B$2,0)-$B$3,MAX($B$2-E195,0)-$B$3)*$B$9</f>
        <v>690.89531492855485</v>
      </c>
      <c r="G195" s="11">
        <f t="shared" ref="G195:G202" si="14">F195/$B$10</f>
        <v>2.4674832676019816</v>
      </c>
      <c r="H195" s="31">
        <f t="shared" ref="H195:H202" si="15">$B$1</f>
        <v>135.37</v>
      </c>
    </row>
    <row r="196" spans="4:8" x14ac:dyDescent="0.3">
      <c r="D196">
        <v>94</v>
      </c>
      <c r="E196" s="19">
        <f t="shared" si="12"/>
        <v>144.80937200035314</v>
      </c>
      <c r="F196" s="68">
        <f t="shared" si="13"/>
        <v>700.93720003531359</v>
      </c>
      <c r="G196" s="11">
        <f t="shared" si="14"/>
        <v>2.5033471429832628</v>
      </c>
      <c r="H196" s="31">
        <f t="shared" si="15"/>
        <v>135.37</v>
      </c>
    </row>
    <row r="197" spans="4:8" x14ac:dyDescent="0.3">
      <c r="D197">
        <v>95</v>
      </c>
      <c r="E197" s="19">
        <f t="shared" si="12"/>
        <v>144.90979085142072</v>
      </c>
      <c r="F197" s="68">
        <f t="shared" si="13"/>
        <v>710.97908514207234</v>
      </c>
      <c r="G197" s="11">
        <f t="shared" si="14"/>
        <v>2.539211018364544</v>
      </c>
      <c r="H197" s="31">
        <f t="shared" si="15"/>
        <v>135.37</v>
      </c>
    </row>
    <row r="198" spans="4:8" x14ac:dyDescent="0.3">
      <c r="D198">
        <v>96</v>
      </c>
      <c r="E198" s="19">
        <f t="shared" si="12"/>
        <v>145.01020970248831</v>
      </c>
      <c r="F198" s="68">
        <f t="shared" si="13"/>
        <v>721.02097024883108</v>
      </c>
      <c r="G198" s="11">
        <f t="shared" si="14"/>
        <v>2.5750748937458252</v>
      </c>
      <c r="H198" s="31">
        <f t="shared" si="15"/>
        <v>135.37</v>
      </c>
    </row>
    <row r="199" spans="4:8" x14ac:dyDescent="0.3">
      <c r="D199">
        <v>97</v>
      </c>
      <c r="E199" s="19">
        <f t="shared" si="12"/>
        <v>145.1106285535559</v>
      </c>
      <c r="F199" s="68">
        <f t="shared" si="13"/>
        <v>731.06285535558982</v>
      </c>
      <c r="G199" s="11">
        <f t="shared" si="14"/>
        <v>2.6109387691271064</v>
      </c>
      <c r="H199" s="31">
        <f t="shared" si="15"/>
        <v>135.37</v>
      </c>
    </row>
    <row r="200" spans="4:8" x14ac:dyDescent="0.3">
      <c r="D200">
        <v>98</v>
      </c>
      <c r="E200" s="19">
        <f t="shared" si="12"/>
        <v>145.21104740462349</v>
      </c>
      <c r="F200" s="68">
        <f t="shared" si="13"/>
        <v>741.10474046234856</v>
      </c>
      <c r="G200" s="11">
        <f t="shared" si="14"/>
        <v>2.6468026445083876</v>
      </c>
      <c r="H200" s="31">
        <f t="shared" si="15"/>
        <v>135.37</v>
      </c>
    </row>
    <row r="201" spans="4:8" x14ac:dyDescent="0.3">
      <c r="D201">
        <v>99</v>
      </c>
      <c r="E201" s="19">
        <f t="shared" si="12"/>
        <v>145.31146625569107</v>
      </c>
      <c r="F201" s="68">
        <f t="shared" si="13"/>
        <v>751.1466255691073</v>
      </c>
      <c r="G201" s="11">
        <f t="shared" si="14"/>
        <v>2.6826665198896689</v>
      </c>
      <c r="H201" s="31">
        <f t="shared" si="15"/>
        <v>135.37</v>
      </c>
    </row>
    <row r="202" spans="4:8" x14ac:dyDescent="0.3">
      <c r="D202">
        <v>100</v>
      </c>
      <c r="E202" s="19">
        <f t="shared" si="12"/>
        <v>145.41188510675866</v>
      </c>
      <c r="F202" s="68">
        <f t="shared" si="13"/>
        <v>761.18851067586604</v>
      </c>
      <c r="G202" s="11">
        <f t="shared" si="14"/>
        <v>2.7185303952709501</v>
      </c>
      <c r="H202" s="31">
        <f t="shared" si="15"/>
        <v>135.37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9A08E-C41E-46D7-B9C2-F72E4E443130}">
  <sheetPr codeName="Sheet10">
    <tabColor rgb="FF0070C0"/>
  </sheetPr>
  <dimension ref="A1:E6"/>
  <sheetViews>
    <sheetView workbookViewId="0"/>
  </sheetViews>
  <sheetFormatPr defaultRowHeight="14.4" x14ac:dyDescent="0.3"/>
  <cols>
    <col min="1" max="1" width="12.44140625" bestFit="1" customWidth="1"/>
    <col min="2" max="2" width="8" bestFit="1" customWidth="1"/>
    <col min="3" max="3" width="7.44140625" bestFit="1" customWidth="1"/>
    <col min="4" max="4" width="7.21875" bestFit="1" customWidth="1"/>
    <col min="5" max="5" width="8.5546875" bestFit="1" customWidth="1"/>
  </cols>
  <sheetData>
    <row r="1" spans="1:5" x14ac:dyDescent="0.3">
      <c r="A1" t="s">
        <v>94</v>
      </c>
      <c r="B1" t="s">
        <v>95</v>
      </c>
      <c r="C1" t="s">
        <v>96</v>
      </c>
      <c r="D1" t="s">
        <v>97</v>
      </c>
      <c r="E1" t="s">
        <v>98</v>
      </c>
    </row>
    <row r="2" spans="1:5" x14ac:dyDescent="0.3">
      <c r="A2" s="1">
        <v>44239</v>
      </c>
      <c r="B2">
        <v>4.2999999999999997E-2</v>
      </c>
      <c r="C2">
        <v>5.2999999999999999E-2</v>
      </c>
      <c r="D2">
        <v>3.3000000000000002E-2</v>
      </c>
      <c r="E2">
        <v>4.4999999999999998E-2</v>
      </c>
    </row>
    <row r="3" spans="1:5" x14ac:dyDescent="0.3">
      <c r="A3" s="1">
        <v>44238</v>
      </c>
      <c r="B3">
        <v>4.5999999999999999E-2</v>
      </c>
      <c r="C3">
        <v>5.6000000000000001E-2</v>
      </c>
      <c r="D3">
        <v>3.5000000000000003E-2</v>
      </c>
      <c r="E3">
        <v>4.2999999999999997E-2</v>
      </c>
    </row>
    <row r="4" spans="1:5" x14ac:dyDescent="0.3">
      <c r="A4" s="1">
        <v>44237</v>
      </c>
      <c r="B4">
        <v>0.04</v>
      </c>
      <c r="C4">
        <v>5.0999999999999997E-2</v>
      </c>
      <c r="D4">
        <v>0.03</v>
      </c>
      <c r="E4">
        <v>4.5999999999999999E-2</v>
      </c>
    </row>
    <row r="5" spans="1:5" x14ac:dyDescent="0.3">
      <c r="A5" s="1">
        <v>44236</v>
      </c>
      <c r="B5">
        <v>3.3000000000000002E-2</v>
      </c>
      <c r="C5">
        <v>4.8000000000000001E-2</v>
      </c>
      <c r="D5">
        <v>0.03</v>
      </c>
      <c r="E5">
        <v>0.04</v>
      </c>
    </row>
    <row r="6" spans="1:5" x14ac:dyDescent="0.3">
      <c r="A6" s="1">
        <v>44235</v>
      </c>
      <c r="B6">
        <v>0.03</v>
      </c>
      <c r="C6">
        <v>4.1000000000000002E-2</v>
      </c>
      <c r="D6">
        <v>2.1999999999999999E-2</v>
      </c>
      <c r="E6">
        <v>3.3000000000000002E-2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4D1FA-81B1-449F-82AF-AA302F158DE1}">
  <sheetPr codeName="Sheet11">
    <tabColor theme="7" tint="0.39997558519241921"/>
  </sheetPr>
  <dimension ref="A1:M102"/>
  <sheetViews>
    <sheetView topLeftCell="A75" workbookViewId="0"/>
  </sheetViews>
  <sheetFormatPr defaultRowHeight="14.4" x14ac:dyDescent="0.3"/>
  <cols>
    <col min="1" max="1" width="10" bestFit="1" customWidth="1"/>
    <col min="2" max="2" width="10" customWidth="1"/>
    <col min="3" max="3" width="11" bestFit="1" customWidth="1"/>
    <col min="6" max="6" width="14.6640625" bestFit="1" customWidth="1"/>
    <col min="8" max="9" width="15.109375" customWidth="1"/>
    <col min="13" max="13" width="9.5546875" bestFit="1" customWidth="1"/>
  </cols>
  <sheetData>
    <row r="1" spans="1:13" x14ac:dyDescent="0.3">
      <c r="A1" t="s">
        <v>120</v>
      </c>
      <c r="B1" t="s">
        <v>123</v>
      </c>
      <c r="C1" t="s">
        <v>118</v>
      </c>
      <c r="D1" t="s">
        <v>119</v>
      </c>
      <c r="E1" t="s">
        <v>125</v>
      </c>
      <c r="F1" t="s">
        <v>120</v>
      </c>
      <c r="G1" t="s">
        <v>123</v>
      </c>
      <c r="H1" t="s">
        <v>113</v>
      </c>
      <c r="I1" t="s">
        <v>113</v>
      </c>
      <c r="J1" t="s">
        <v>119</v>
      </c>
      <c r="K1" t="s">
        <v>125</v>
      </c>
    </row>
    <row r="2" spans="1:13" x14ac:dyDescent="0.3">
      <c r="A2" s="60">
        <v>0</v>
      </c>
      <c r="B2">
        <v>0</v>
      </c>
      <c r="C2" s="62">
        <f>A2</f>
        <v>0</v>
      </c>
      <c r="D2" s="65" cm="1">
        <f t="array" ref="D2">100*OptionPrice('Trading Dashboard'!$K$7,'Trading Dashboard'!$AB$7,'Trading Dashboard'!$K$8,C2,'Trading Dashboard'!$AB$10,'Trading Dashboard'!$AB$9,'Trading Dashboard'!$K$9,'Trading Dashboard'!$AB$11)</f>
        <v>276.21124441737811</v>
      </c>
      <c r="E2" s="62">
        <f>'Trading Dashboard'!$AB$8</f>
        <v>4.4999999999999999E-4</v>
      </c>
      <c r="F2" s="64">
        <f ca="1">NOW()</f>
        <v>44241.990109953702</v>
      </c>
      <c r="G2">
        <v>0</v>
      </c>
      <c r="H2" s="64">
        <f ca="1">F2</f>
        <v>44241.990109953702</v>
      </c>
      <c r="I2" s="63">
        <f ca="1">(H2-NOW())/252</f>
        <v>-4.5930926081916642E-10</v>
      </c>
      <c r="J2" s="67" cm="1">
        <f t="array" aca="1" ref="J2" ca="1">100*OptionPrice('Trading Dashboard'!$K$7,'Trading Dashboard'!$AB$7,'Trading Dashboard'!$K$8,'Trading Dashboard'!$AB$8,'Trading Dashboard'!$AB$10,'Trading Dashboard'!$AB$9,H2,'Trading Dashboard'!$AB$11)</f>
        <v>101.37704779596004</v>
      </c>
      <c r="K2" s="69">
        <f ca="1">$I$102</f>
        <v>2.6494272210425513E-2</v>
      </c>
    </row>
    <row r="3" spans="1:13" x14ac:dyDescent="0.3">
      <c r="A3" t="s">
        <v>121</v>
      </c>
      <c r="B3">
        <v>1</v>
      </c>
      <c r="C3" s="62">
        <f>C2+$A$8</f>
        <v>1.3500000000000001E-5</v>
      </c>
      <c r="D3" s="65" cm="1">
        <f t="array" ref="D3">100*OptionPrice('Trading Dashboard'!$K$7,'Trading Dashboard'!$AB$7,'Trading Dashboard'!$K$8,C3,'Trading Dashboard'!$AB$10,'Trading Dashboard'!$AB$9,'Trading Dashboard'!$K$9,'Trading Dashboard'!$AB$11)</f>
        <v>276.21371687361346</v>
      </c>
      <c r="E3" s="62">
        <f>'Trading Dashboard'!$AB$8</f>
        <v>4.4999999999999999E-4</v>
      </c>
      <c r="F3" t="s">
        <v>121</v>
      </c>
      <c r="G3">
        <v>1</v>
      </c>
      <c r="H3" s="64">
        <f ca="1">H2+$F$8</f>
        <v>44242.05687552083</v>
      </c>
      <c r="I3" s="63">
        <f t="shared" ref="I3:I66" ca="1" si="0">(H3-NOW())/252</f>
        <v>2.6494226738808693E-4</v>
      </c>
      <c r="J3" s="67" cm="1">
        <f t="array" aca="1" ref="J3" ca="1">100*OptionPrice('Trading Dashboard'!$K$7,'Trading Dashboard'!$AB$7,'Trading Dashboard'!$K$8,'Trading Dashboard'!$AB$8,'Trading Dashboard'!$AB$10,'Trading Dashboard'!$AB$9,H3,'Trading Dashboard'!$AB$11)</f>
        <v>105.29596255307527</v>
      </c>
      <c r="K3" s="69">
        <f t="shared" ref="K3:K66" ca="1" si="1">$I$102</f>
        <v>2.6494272210425513E-2</v>
      </c>
    </row>
    <row r="4" spans="1:13" x14ac:dyDescent="0.3">
      <c r="A4" s="60">
        <f>3*'Trading Dashboard'!AB8</f>
        <v>1.3500000000000001E-3</v>
      </c>
      <c r="B4">
        <v>2</v>
      </c>
      <c r="C4" s="62">
        <f t="shared" ref="C4:C67" si="2">C3+$A$8</f>
        <v>2.7000000000000002E-5</v>
      </c>
      <c r="D4" s="65" cm="1">
        <f t="array" ref="D4">100*OptionPrice('Trading Dashboard'!$K$7,'Trading Dashboard'!$AB$7,'Trading Dashboard'!$K$8,C4,'Trading Dashboard'!$AB$10,'Trading Dashboard'!$AB$9,'Trading Dashboard'!$K$9,'Trading Dashboard'!$AB$11)</f>
        <v>276.21618934320855</v>
      </c>
      <c r="E4" s="62">
        <f>'Trading Dashboard'!$AB$8</f>
        <v>4.4999999999999999E-4</v>
      </c>
      <c r="F4" s="64">
        <f>'Trading Dashboard'!K9+16/24</f>
        <v>44248.666666666664</v>
      </c>
      <c r="G4">
        <v>2</v>
      </c>
      <c r="H4" s="64">
        <f t="shared" ref="H4:H67" ca="1" si="3">H3+$F$8</f>
        <v>44242.123641087957</v>
      </c>
      <c r="I4" s="63">
        <f t="shared" ca="1" si="0"/>
        <v>5.2988499408543463E-4</v>
      </c>
      <c r="J4" s="67" cm="1">
        <f t="array" aca="1" ref="J4" ca="1">100*OptionPrice('Trading Dashboard'!$K$7,'Trading Dashboard'!$AB$7,'Trading Dashboard'!$K$8,'Trading Dashboard'!$AB$8,'Trading Dashboard'!$AB$10,'Trading Dashboard'!$AB$9,H4,'Trading Dashboard'!$AB$11)</f>
        <v>109.04484402932992</v>
      </c>
      <c r="K4" s="69">
        <f t="shared" ca="1" si="1"/>
        <v>2.6494272210425513E-2</v>
      </c>
    </row>
    <row r="5" spans="1:13" x14ac:dyDescent="0.3">
      <c r="A5" t="s">
        <v>122</v>
      </c>
      <c r="B5">
        <v>3</v>
      </c>
      <c r="C5" s="62">
        <f t="shared" si="2"/>
        <v>4.0500000000000002E-5</v>
      </c>
      <c r="D5" s="65" cm="1">
        <f t="array" ref="D5">100*OptionPrice('Trading Dashboard'!$K$7,'Trading Dashboard'!$AB$7,'Trading Dashboard'!$K$8,C5,'Trading Dashboard'!$AB$10,'Trading Dashboard'!$AB$9,'Trading Dashboard'!$K$9,'Trading Dashboard'!$AB$11)</f>
        <v>276.21866182615457</v>
      </c>
      <c r="E5" s="62">
        <f>'Trading Dashboard'!$AB$8</f>
        <v>4.4999999999999999E-4</v>
      </c>
      <c r="F5" t="s">
        <v>122</v>
      </c>
      <c r="G5">
        <v>3</v>
      </c>
      <c r="H5" s="64">
        <f t="shared" ca="1" si="3"/>
        <v>44242.190406655085</v>
      </c>
      <c r="I5" s="63">
        <f t="shared" ca="1" si="0"/>
        <v>7.9482772078278243E-4</v>
      </c>
      <c r="J5" s="67" cm="1">
        <f t="array" aca="1" ref="J5" ca="1">100*OptionPrice('Trading Dashboard'!$K$7,'Trading Dashboard'!$AB$7,'Trading Dashboard'!$K$8,'Trading Dashboard'!$AB$8,'Trading Dashboard'!$AB$10,'Trading Dashboard'!$AB$9,H5,'Trading Dashboard'!$AB$11)</f>
        <v>112.6440117611146</v>
      </c>
      <c r="K5" s="69">
        <f t="shared" ca="1" si="1"/>
        <v>2.6494272210425513E-2</v>
      </c>
    </row>
    <row r="6" spans="1:13" x14ac:dyDescent="0.3">
      <c r="A6">
        <v>100</v>
      </c>
      <c r="B6">
        <v>4</v>
      </c>
      <c r="C6" s="62">
        <f t="shared" si="2"/>
        <v>5.4000000000000005E-5</v>
      </c>
      <c r="D6" s="65" cm="1">
        <f t="array" ref="D6">100*OptionPrice('Trading Dashboard'!$K$7,'Trading Dashboard'!$AB$7,'Trading Dashboard'!$K$8,C6,'Trading Dashboard'!$AB$10,'Trading Dashboard'!$AB$9,'Trading Dashboard'!$K$9,'Trading Dashboard'!$AB$11)</f>
        <v>276.22113432247295</v>
      </c>
      <c r="E6" s="62">
        <f>'Trading Dashboard'!$AB$8</f>
        <v>4.4999999999999999E-4</v>
      </c>
      <c r="F6">
        <v>100</v>
      </c>
      <c r="G6">
        <v>4</v>
      </c>
      <c r="H6" s="64">
        <f t="shared" ca="1" si="3"/>
        <v>44242.257172222213</v>
      </c>
      <c r="I6" s="63">
        <f t="shared" ca="1" si="0"/>
        <v>1.05977044748013E-3</v>
      </c>
      <c r="J6" s="67" cm="1">
        <f t="array" aca="1" ref="J6" ca="1">100*OptionPrice('Trading Dashboard'!$K$7,'Trading Dashboard'!$AB$7,'Trading Dashboard'!$K$8,'Trading Dashboard'!$AB$8,'Trading Dashboard'!$AB$10,'Trading Dashboard'!$AB$9,H6,'Trading Dashboard'!$AB$11)</f>
        <v>116.11003589194615</v>
      </c>
      <c r="K6" s="69">
        <f t="shared" ca="1" si="1"/>
        <v>2.6494272210425513E-2</v>
      </c>
    </row>
    <row r="7" spans="1:13" x14ac:dyDescent="0.3">
      <c r="A7" t="s">
        <v>80</v>
      </c>
      <c r="B7">
        <v>5</v>
      </c>
      <c r="C7" s="62">
        <f t="shared" si="2"/>
        <v>6.7500000000000001E-5</v>
      </c>
      <c r="D7" s="65" cm="1">
        <f t="array" ref="D7">100*OptionPrice('Trading Dashboard'!$K$7,'Trading Dashboard'!$AB$7,'Trading Dashboard'!$K$8,C7,'Trading Dashboard'!$AB$10,'Trading Dashboard'!$AB$9,'Trading Dashboard'!$K$9,'Trading Dashboard'!$AB$11)</f>
        <v>276.22360683215402</v>
      </c>
      <c r="E7" s="62">
        <f>'Trading Dashboard'!$AB$8</f>
        <v>4.4999999999999999E-4</v>
      </c>
      <c r="F7" t="s">
        <v>80</v>
      </c>
      <c r="G7">
        <v>5</v>
      </c>
      <c r="H7" s="64">
        <f t="shared" ca="1" si="3"/>
        <v>44242.323937789341</v>
      </c>
      <c r="I7" s="63">
        <f t="shared" ca="1" si="0"/>
        <v>1.3247131741774779E-3</v>
      </c>
      <c r="J7" s="67" cm="1">
        <f t="array" aca="1" ref="J7" ca="1">100*OptionPrice('Trading Dashboard'!$K$7,'Trading Dashboard'!$AB$7,'Trading Dashboard'!$K$8,'Trading Dashboard'!$AB$8,'Trading Dashboard'!$AB$10,'Trading Dashboard'!$AB$9,H7,'Trading Dashboard'!$AB$11)</f>
        <v>119.45663933995291</v>
      </c>
      <c r="K7" s="69">
        <f t="shared" ca="1" si="1"/>
        <v>2.6494272210425513E-2</v>
      </c>
    </row>
    <row r="8" spans="1:13" x14ac:dyDescent="0.3">
      <c r="A8">
        <f>(A4-A2)/A6</f>
        <v>1.3500000000000001E-5</v>
      </c>
      <c r="B8">
        <v>6</v>
      </c>
      <c r="C8" s="62">
        <f t="shared" si="2"/>
        <v>8.1000000000000004E-5</v>
      </c>
      <c r="D8" s="65" cm="1">
        <f t="array" ref="D8">100*OptionPrice('Trading Dashboard'!$K$7,'Trading Dashboard'!$AB$7,'Trading Dashboard'!$K$8,C8,'Trading Dashboard'!$AB$10,'Trading Dashboard'!$AB$9,'Trading Dashboard'!$K$9,'Trading Dashboard'!$AB$11)</f>
        <v>276.22607935519471</v>
      </c>
      <c r="E8" s="62">
        <f>'Trading Dashboard'!$AB$8</f>
        <v>4.4999999999999999E-4</v>
      </c>
      <c r="F8" s="61">
        <f ca="1">(F4-F2)/F6</f>
        <v>6.6765567129623379E-2</v>
      </c>
      <c r="G8">
        <v>6</v>
      </c>
      <c r="H8" s="64">
        <f t="shared" ca="1" si="3"/>
        <v>44242.390703356468</v>
      </c>
      <c r="I8" s="63">
        <f t="shared" ca="1" si="0"/>
        <v>1.5896559008748256E-3</v>
      </c>
      <c r="J8" s="67" cm="1">
        <f t="array" aca="1" ref="J8" ca="1">100*OptionPrice('Trading Dashboard'!$K$7,'Trading Dashboard'!$AB$7,'Trading Dashboard'!$K$8,'Trading Dashboard'!$AB$8,'Trading Dashboard'!$AB$10,'Trading Dashboard'!$AB$9,H8,'Trading Dashboard'!$AB$11)</f>
        <v>122.69533878341714</v>
      </c>
      <c r="K8" s="69">
        <f t="shared" ca="1" si="1"/>
        <v>2.6494272210425513E-2</v>
      </c>
    </row>
    <row r="9" spans="1:13" x14ac:dyDescent="0.3">
      <c r="B9">
        <v>7</v>
      </c>
      <c r="C9" s="62">
        <f t="shared" si="2"/>
        <v>9.4500000000000007E-5</v>
      </c>
      <c r="D9" s="65" cm="1">
        <f t="array" ref="D9">100*OptionPrice('Trading Dashboard'!$K$7,'Trading Dashboard'!$AB$7,'Trading Dashboard'!$K$8,C9,'Trading Dashboard'!$AB$10,'Trading Dashboard'!$AB$9,'Trading Dashboard'!$K$9,'Trading Dashboard'!$AB$11)</f>
        <v>276.22855189158997</v>
      </c>
      <c r="E9" s="62">
        <f>'Trading Dashboard'!$AB$8</f>
        <v>4.4999999999999999E-4</v>
      </c>
      <c r="G9">
        <v>7</v>
      </c>
      <c r="H9" s="64">
        <f t="shared" ca="1" si="3"/>
        <v>44242.457468923596</v>
      </c>
      <c r="I9" s="63">
        <f t="shared" ca="1" si="0"/>
        <v>1.8545986275721733E-3</v>
      </c>
      <c r="J9" s="67" cm="1">
        <f t="array" aca="1" ref="J9" ca="1">100*OptionPrice('Trading Dashboard'!$K$7,'Trading Dashboard'!$AB$7,'Trading Dashboard'!$K$8,'Trading Dashboard'!$AB$8,'Trading Dashboard'!$AB$10,'Trading Dashboard'!$AB$9,H9,'Trading Dashboard'!$AB$11)</f>
        <v>125.83591130408746</v>
      </c>
      <c r="K9" s="69">
        <f t="shared" ca="1" si="1"/>
        <v>2.6494272210425513E-2</v>
      </c>
    </row>
    <row r="10" spans="1:13" x14ac:dyDescent="0.3">
      <c r="B10">
        <v>8</v>
      </c>
      <c r="C10" s="62">
        <f t="shared" si="2"/>
        <v>1.0800000000000001E-4</v>
      </c>
      <c r="D10" s="65" cm="1">
        <f t="array" ref="D10">100*OptionPrice('Trading Dashboard'!$K$7,'Trading Dashboard'!$AB$7,'Trading Dashboard'!$K$8,C10,'Trading Dashboard'!$AB$10,'Trading Dashboard'!$AB$9,'Trading Dashboard'!$K$9,'Trading Dashboard'!$AB$11)</f>
        <v>276.23102444135361</v>
      </c>
      <c r="E10" s="62">
        <f>'Trading Dashboard'!$AB$8</f>
        <v>4.4999999999999999E-4</v>
      </c>
      <c r="G10">
        <v>8</v>
      </c>
      <c r="H10" s="64">
        <f t="shared" ca="1" si="3"/>
        <v>44242.524234490724</v>
      </c>
      <c r="I10" s="63">
        <f t="shared" ca="1" si="0"/>
        <v>2.1195413542695212E-3</v>
      </c>
      <c r="J10" s="67" cm="1">
        <f t="array" aca="1" ref="J10" ca="1">100*OptionPrice('Trading Dashboard'!$K$7,'Trading Dashboard'!$AB$7,'Trading Dashboard'!$K$8,'Trading Dashboard'!$AB$8,'Trading Dashboard'!$AB$10,'Trading Dashboard'!$AB$9,H10,'Trading Dashboard'!$AB$11)</f>
        <v>128.88674134766259</v>
      </c>
      <c r="K10" s="69">
        <f t="shared" ca="1" si="1"/>
        <v>2.6494272210425513E-2</v>
      </c>
    </row>
    <row r="11" spans="1:13" x14ac:dyDescent="0.3">
      <c r="B11">
        <v>9</v>
      </c>
      <c r="C11" s="62">
        <f t="shared" si="2"/>
        <v>1.2150000000000001E-4</v>
      </c>
      <c r="D11" s="65" cm="1">
        <f t="array" ref="D11">100*OptionPrice('Trading Dashboard'!$K$7,'Trading Dashboard'!$AB$7,'Trading Dashboard'!$K$8,C11,'Trading Dashboard'!$AB$10,'Trading Dashboard'!$AB$9,'Trading Dashboard'!$K$9,'Trading Dashboard'!$AB$11)</f>
        <v>276.23349700448136</v>
      </c>
      <c r="E11" s="62">
        <f>'Trading Dashboard'!$AB$8</f>
        <v>4.4999999999999999E-4</v>
      </c>
      <c r="G11">
        <v>9</v>
      </c>
      <c r="H11" s="64">
        <f t="shared" ca="1" si="3"/>
        <v>44242.591000057851</v>
      </c>
      <c r="I11" s="63">
        <f t="shared" ca="1" si="0"/>
        <v>2.3844840809668687E-3</v>
      </c>
      <c r="J11" s="67" cm="1">
        <f t="array" aca="1" ref="J11" ca="1">100*OptionPrice('Trading Dashboard'!$K$7,'Trading Dashboard'!$AB$7,'Trading Dashboard'!$K$8,'Trading Dashboard'!$AB$8,'Trading Dashboard'!$AB$10,'Trading Dashboard'!$AB$9,H11,'Trading Dashboard'!$AB$11)</f>
        <v>131.85508349908915</v>
      </c>
      <c r="K11" s="69">
        <f t="shared" ca="1" si="1"/>
        <v>2.6494272210425513E-2</v>
      </c>
      <c r="M11" s="1"/>
    </row>
    <row r="12" spans="1:13" x14ac:dyDescent="0.3">
      <c r="B12">
        <v>10</v>
      </c>
      <c r="C12" s="62">
        <f t="shared" si="2"/>
        <v>1.35E-4</v>
      </c>
      <c r="D12" s="65" cm="1">
        <f t="array" ref="D12">100*OptionPrice('Trading Dashboard'!$K$7,'Trading Dashboard'!$AB$7,'Trading Dashboard'!$K$8,C12,'Trading Dashboard'!$AB$10,'Trading Dashboard'!$AB$9,'Trading Dashboard'!$K$9,'Trading Dashboard'!$AB$11)</f>
        <v>276.23596958096937</v>
      </c>
      <c r="E12" s="62">
        <f>'Trading Dashboard'!$AB$8</f>
        <v>4.4999999999999999E-4</v>
      </c>
      <c r="G12">
        <v>10</v>
      </c>
      <c r="H12" s="64">
        <f t="shared" ca="1" si="3"/>
        <v>44242.657765624979</v>
      </c>
      <c r="I12" s="63">
        <f t="shared" ca="1" si="0"/>
        <v>2.6494268076642166E-3</v>
      </c>
      <c r="J12" s="67" cm="1">
        <f t="array" aca="1" ref="J12" ca="1">100*OptionPrice('Trading Dashboard'!$K$7,'Trading Dashboard'!$AB$7,'Trading Dashboard'!$K$8,'Trading Dashboard'!$AB$8,'Trading Dashboard'!$AB$10,'Trading Dashboard'!$AB$9,H12,'Trading Dashboard'!$AB$11)</f>
        <v>134.74726476313668</v>
      </c>
      <c r="K12" s="69">
        <f t="shared" ca="1" si="1"/>
        <v>2.6494272210425513E-2</v>
      </c>
    </row>
    <row r="13" spans="1:13" x14ac:dyDescent="0.3">
      <c r="B13">
        <v>11</v>
      </c>
      <c r="C13" s="62">
        <f t="shared" si="2"/>
        <v>1.485E-4</v>
      </c>
      <c r="D13" s="65" cm="1">
        <f t="array" ref="D13">100*OptionPrice('Trading Dashboard'!$K$7,'Trading Dashboard'!$AB$7,'Trading Dashboard'!$K$8,C13,'Trading Dashboard'!$AB$10,'Trading Dashboard'!$AB$9,'Trading Dashboard'!$K$9,'Trading Dashboard'!$AB$11)</f>
        <v>276.23844217081097</v>
      </c>
      <c r="E13" s="62">
        <f>'Trading Dashboard'!$AB$8</f>
        <v>4.4999999999999999E-4</v>
      </c>
      <c r="G13">
        <v>11</v>
      </c>
      <c r="H13" s="64">
        <f t="shared" ca="1" si="3"/>
        <v>44242.724531192107</v>
      </c>
      <c r="I13" s="63">
        <f t="shared" ca="1" si="0"/>
        <v>2.9143695343615641E-3</v>
      </c>
      <c r="J13" s="67" cm="1">
        <f t="array" aca="1" ref="J13" ca="1">100*OptionPrice('Trading Dashboard'!$K$7,'Trading Dashboard'!$AB$7,'Trading Dashboard'!$K$8,'Trading Dashboard'!$AB$8,'Trading Dashboard'!$AB$10,'Trading Dashboard'!$AB$9,H13,'Trading Dashboard'!$AB$11)</f>
        <v>137.56884254488148</v>
      </c>
      <c r="K13" s="69">
        <f t="shared" ca="1" si="1"/>
        <v>2.6494272210425513E-2</v>
      </c>
    </row>
    <row r="14" spans="1:13" x14ac:dyDescent="0.3">
      <c r="B14">
        <v>12</v>
      </c>
      <c r="C14" s="62">
        <f t="shared" si="2"/>
        <v>1.6200000000000001E-4</v>
      </c>
      <c r="D14" s="65" cm="1">
        <f t="array" ref="D14">100*OptionPrice('Trading Dashboard'!$K$7,'Trading Dashboard'!$AB$7,'Trading Dashboard'!$K$8,C14,'Trading Dashboard'!$AB$10,'Trading Dashboard'!$AB$9,'Trading Dashboard'!$K$9,'Trading Dashboard'!$AB$11)</f>
        <v>276.24091477402089</v>
      </c>
      <c r="E14" s="62">
        <f>'Trading Dashboard'!$AB$8</f>
        <v>4.4999999999999999E-4</v>
      </c>
      <c r="G14">
        <v>12</v>
      </c>
      <c r="H14" s="64">
        <f t="shared" ca="1" si="3"/>
        <v>44242.791296759235</v>
      </c>
      <c r="I14" s="63">
        <f t="shared" ca="1" si="0"/>
        <v>3.179312261058912E-3</v>
      </c>
      <c r="J14" s="67" cm="1">
        <f t="array" aca="1" ref="J14" ca="1">100*OptionPrice('Trading Dashboard'!$K$7,'Trading Dashboard'!$AB$7,'Trading Dashboard'!$K$8,'Trading Dashboard'!$AB$8,'Trading Dashboard'!$AB$10,'Trading Dashboard'!$AB$9,H14,'Trading Dashboard'!$AB$11)</f>
        <v>140.32472963853758</v>
      </c>
      <c r="K14" s="69">
        <f t="shared" ca="1" si="1"/>
        <v>2.6494272210425513E-2</v>
      </c>
    </row>
    <row r="15" spans="1:13" x14ac:dyDescent="0.3">
      <c r="B15">
        <v>13</v>
      </c>
      <c r="C15" s="62">
        <f t="shared" si="2"/>
        <v>1.7550000000000001E-4</v>
      </c>
      <c r="D15" s="65" cm="1">
        <f t="array" ref="D15">100*OptionPrice('Trading Dashboard'!$K$7,'Trading Dashboard'!$AB$7,'Trading Dashboard'!$K$8,C15,'Trading Dashboard'!$AB$10,'Trading Dashboard'!$AB$9,'Trading Dashboard'!$K$9,'Trading Dashboard'!$AB$11)</f>
        <v>276.2433873905955</v>
      </c>
      <c r="E15" s="62">
        <f>'Trading Dashboard'!$AB$8</f>
        <v>4.4999999999999999E-4</v>
      </c>
      <c r="G15">
        <v>13</v>
      </c>
      <c r="H15" s="64">
        <f t="shared" ca="1" si="3"/>
        <v>44242.858062326362</v>
      </c>
      <c r="I15" s="63">
        <f t="shared" ca="1" si="0"/>
        <v>3.4442549877562599E-3</v>
      </c>
      <c r="J15" s="67" cm="1">
        <f t="array" aca="1" ref="J15" ca="1">100*OptionPrice('Trading Dashboard'!$K$7,'Trading Dashboard'!$AB$7,'Trading Dashboard'!$K$8,'Trading Dashboard'!$AB$8,'Trading Dashboard'!$AB$10,'Trading Dashboard'!$AB$9,H15,'Trading Dashboard'!$AB$11)</f>
        <v>143.01929427263917</v>
      </c>
      <c r="K15" s="69">
        <f t="shared" ca="1" si="1"/>
        <v>2.6494272210425513E-2</v>
      </c>
    </row>
    <row r="16" spans="1:13" x14ac:dyDescent="0.3">
      <c r="B16">
        <v>14</v>
      </c>
      <c r="C16" s="62">
        <f t="shared" si="2"/>
        <v>1.8900000000000001E-4</v>
      </c>
      <c r="D16" s="65" cm="1">
        <f t="array" ref="D16">100*OptionPrice('Trading Dashboard'!$K$7,'Trading Dashboard'!$AB$7,'Trading Dashboard'!$K$8,C16,'Trading Dashboard'!$AB$10,'Trading Dashboard'!$AB$9,'Trading Dashboard'!$K$9,'Trading Dashboard'!$AB$11)</f>
        <v>276.24586002053093</v>
      </c>
      <c r="E16" s="62">
        <f>'Trading Dashboard'!$AB$8</f>
        <v>4.4999999999999999E-4</v>
      </c>
      <c r="G16">
        <v>14</v>
      </c>
      <c r="H16" s="64">
        <f t="shared" ca="1" si="3"/>
        <v>44242.92482789349</v>
      </c>
      <c r="I16" s="63">
        <f t="shared" ca="1" si="0"/>
        <v>3.7091977144536074E-3</v>
      </c>
      <c r="J16" s="67" cm="1">
        <f t="array" aca="1" ref="J16" ca="1">100*OptionPrice('Trading Dashboard'!$K$7,'Trading Dashboard'!$AB$7,'Trading Dashboard'!$K$8,'Trading Dashboard'!$AB$8,'Trading Dashboard'!$AB$10,'Trading Dashboard'!$AB$9,H16,'Trading Dashboard'!$AB$11)</f>
        <v>145.65644103776017</v>
      </c>
      <c r="K16" s="69">
        <f t="shared" ca="1" si="1"/>
        <v>2.6494272210425513E-2</v>
      </c>
    </row>
    <row r="17" spans="2:11" x14ac:dyDescent="0.3">
      <c r="B17">
        <v>15</v>
      </c>
      <c r="C17" s="62">
        <f t="shared" si="2"/>
        <v>2.0250000000000002E-4</v>
      </c>
      <c r="D17" s="65" cm="1">
        <f t="array" ref="D17">100*OptionPrice('Trading Dashboard'!$K$7,'Trading Dashboard'!$AB$7,'Trading Dashboard'!$K$8,C17,'Trading Dashboard'!$AB$10,'Trading Dashboard'!$AB$9,'Trading Dashboard'!$K$9,'Trading Dashboard'!$AB$11)</f>
        <v>276.24833266381836</v>
      </c>
      <c r="E17" s="62">
        <f>'Trading Dashboard'!$AB$8</f>
        <v>4.4999999999999999E-4</v>
      </c>
      <c r="G17">
        <v>15</v>
      </c>
      <c r="H17" s="64">
        <f t="shared" ca="1" si="3"/>
        <v>44242.991593460618</v>
      </c>
      <c r="I17" s="63">
        <f t="shared" ca="1" si="0"/>
        <v>3.9741404411509553E-3</v>
      </c>
      <c r="J17" s="67" cm="1">
        <f t="array" aca="1" ref="J17" ca="1">100*OptionPrice('Trading Dashboard'!$K$7,'Trading Dashboard'!$AB$7,'Trading Dashboard'!$K$8,'Trading Dashboard'!$AB$8,'Trading Dashboard'!$AB$10,'Trading Dashboard'!$AB$9,H17,'Trading Dashboard'!$AB$11)</f>
        <v>148.23967698012012</v>
      </c>
      <c r="K17" s="69">
        <f t="shared" ca="1" si="1"/>
        <v>2.6494272210425513E-2</v>
      </c>
    </row>
    <row r="18" spans="2:11" x14ac:dyDescent="0.3">
      <c r="B18">
        <v>16</v>
      </c>
      <c r="C18" s="62">
        <f t="shared" si="2"/>
        <v>2.1600000000000002E-4</v>
      </c>
      <c r="D18" s="65" cm="1">
        <f t="array" ref="D18">100*OptionPrice('Trading Dashboard'!$K$7,'Trading Dashboard'!$AB$7,'Trading Dashboard'!$K$8,C18,'Trading Dashboard'!$AB$10,'Trading Dashboard'!$AB$9,'Trading Dashboard'!$K$9,'Trading Dashboard'!$AB$11)</f>
        <v>276.25080532047701</v>
      </c>
      <c r="E18" s="62">
        <f>'Trading Dashboard'!$AB$8</f>
        <v>4.4999999999999999E-4</v>
      </c>
      <c r="G18">
        <v>16</v>
      </c>
      <c r="H18" s="64">
        <f t="shared" ca="1" si="3"/>
        <v>44243.058359027746</v>
      </c>
      <c r="I18" s="63">
        <f t="shared" ca="1" si="0"/>
        <v>4.2390831678483032E-3</v>
      </c>
      <c r="J18" s="67" cm="1">
        <f t="array" aca="1" ref="J18" ca="1">100*OptionPrice('Trading Dashboard'!$K$7,'Trading Dashboard'!$AB$7,'Trading Dashboard'!$K$8,'Trading Dashboard'!$AB$8,'Trading Dashboard'!$AB$10,'Trading Dashboard'!$AB$9,H18,'Trading Dashboard'!$AB$11)</f>
        <v>150.77216605455857</v>
      </c>
      <c r="K18" s="69">
        <f t="shared" ca="1" si="1"/>
        <v>2.6494272210425513E-2</v>
      </c>
    </row>
    <row r="19" spans="2:11" x14ac:dyDescent="0.3">
      <c r="B19">
        <v>17</v>
      </c>
      <c r="C19" s="62">
        <f t="shared" si="2"/>
        <v>2.2950000000000002E-4</v>
      </c>
      <c r="D19" s="65" cm="1">
        <f t="array" ref="D19">100*OptionPrice('Trading Dashboard'!$K$7,'Trading Dashboard'!$AB$7,'Trading Dashboard'!$K$8,C19,'Trading Dashboard'!$AB$10,'Trading Dashboard'!$AB$9,'Trading Dashboard'!$K$9,'Trading Dashboard'!$AB$11)</f>
        <v>276.25327799049558</v>
      </c>
      <c r="E19" s="62">
        <f>'Trading Dashboard'!$AB$8</f>
        <v>4.4999999999999999E-4</v>
      </c>
      <c r="G19">
        <v>17</v>
      </c>
      <c r="H19" s="64">
        <f t="shared" ca="1" si="3"/>
        <v>44243.125124594873</v>
      </c>
      <c r="I19" s="63">
        <f t="shared" ca="1" si="0"/>
        <v>4.5040258945456503E-3</v>
      </c>
      <c r="J19" s="67" cm="1">
        <f t="array" aca="1" ref="J19" ca="1">100*OptionPrice('Trading Dashboard'!$K$7,'Trading Dashboard'!$AB$7,'Trading Dashboard'!$K$8,'Trading Dashboard'!$AB$8,'Trading Dashboard'!$AB$10,'Trading Dashboard'!$AB$9,H19,'Trading Dashboard'!$AB$11)</f>
        <v>153.25677434842498</v>
      </c>
      <c r="K19" s="69">
        <f t="shared" ca="1" si="1"/>
        <v>2.6494272210425513E-2</v>
      </c>
    </row>
    <row r="20" spans="2:11" x14ac:dyDescent="0.3">
      <c r="B20">
        <v>18</v>
      </c>
      <c r="C20" s="62">
        <f t="shared" si="2"/>
        <v>2.4300000000000002E-4</v>
      </c>
      <c r="D20" s="65" cm="1">
        <f t="array" ref="D20">100*OptionPrice('Trading Dashboard'!$K$7,'Trading Dashboard'!$AB$7,'Trading Dashboard'!$K$8,C20,'Trading Dashboard'!$AB$10,'Trading Dashboard'!$AB$9,'Trading Dashboard'!$K$9,'Trading Dashboard'!$AB$11)</f>
        <v>276.25575067387723</v>
      </c>
      <c r="E20" s="62">
        <f>'Trading Dashboard'!$AB$8</f>
        <v>4.4999999999999999E-4</v>
      </c>
      <c r="G20">
        <v>18</v>
      </c>
      <c r="H20" s="64">
        <f t="shared" ca="1" si="3"/>
        <v>44243.191890162001</v>
      </c>
      <c r="I20" s="63">
        <f t="shared" ca="1" si="0"/>
        <v>4.7689686212429982E-3</v>
      </c>
      <c r="J20" s="67" cm="1">
        <f t="array" aca="1" ref="J20" ca="1">100*OptionPrice('Trading Dashboard'!$K$7,'Trading Dashboard'!$AB$7,'Trading Dashboard'!$K$8,'Trading Dashboard'!$AB$8,'Trading Dashboard'!$AB$10,'Trading Dashboard'!$AB$9,H20,'Trading Dashboard'!$AB$11)</f>
        <v>155.69610791891591</v>
      </c>
      <c r="K20" s="69">
        <f t="shared" ca="1" si="1"/>
        <v>2.6494272210425513E-2</v>
      </c>
    </row>
    <row r="21" spans="2:11" x14ac:dyDescent="0.3">
      <c r="B21">
        <v>19</v>
      </c>
      <c r="C21" s="62">
        <f t="shared" si="2"/>
        <v>2.565E-4</v>
      </c>
      <c r="D21" s="65" cm="1">
        <f t="array" ref="D21">100*OptionPrice('Trading Dashboard'!$K$7,'Trading Dashboard'!$AB$7,'Trading Dashboard'!$K$8,C21,'Trading Dashboard'!$AB$10,'Trading Dashboard'!$AB$9,'Trading Dashboard'!$K$9,'Trading Dashboard'!$AB$11)</f>
        <v>276.25822337060993</v>
      </c>
      <c r="E21" s="62">
        <f>'Trading Dashboard'!$AB$8</f>
        <v>4.4999999999999999E-4</v>
      </c>
      <c r="G21">
        <v>19</v>
      </c>
      <c r="H21" s="64">
        <f t="shared" ca="1" si="3"/>
        <v>44243.258655729129</v>
      </c>
      <c r="I21" s="63">
        <f t="shared" ca="1" si="0"/>
        <v>5.0339113479403461E-3</v>
      </c>
      <c r="J21" s="67" cm="1">
        <f t="array" aca="1" ref="J21" ca="1">100*OptionPrice('Trading Dashboard'!$K$7,'Trading Dashboard'!$AB$7,'Trading Dashboard'!$K$8,'Trading Dashboard'!$AB$8,'Trading Dashboard'!$AB$10,'Trading Dashboard'!$AB$9,H21,'Trading Dashboard'!$AB$11)</f>
        <v>158.09254466686752</v>
      </c>
      <c r="K21" s="69">
        <f t="shared" ca="1" si="1"/>
        <v>2.6494272210425513E-2</v>
      </c>
    </row>
    <row r="22" spans="2:11" x14ac:dyDescent="0.3">
      <c r="B22">
        <v>20</v>
      </c>
      <c r="C22" s="62">
        <f t="shared" si="2"/>
        <v>2.7E-4</v>
      </c>
      <c r="D22" s="65" cm="1">
        <f t="array" ref="D22">100*OptionPrice('Trading Dashboard'!$K$7,'Trading Dashboard'!$AB$7,'Trading Dashboard'!$K$8,C22,'Trading Dashboard'!$AB$10,'Trading Dashboard'!$AB$9,'Trading Dashboard'!$K$9,'Trading Dashboard'!$AB$11)</f>
        <v>276.26069608071288</v>
      </c>
      <c r="E22" s="62">
        <f>'Trading Dashboard'!$AB$8</f>
        <v>4.4999999999999999E-4</v>
      </c>
      <c r="G22">
        <v>20</v>
      </c>
      <c r="H22" s="64">
        <f t="shared" ca="1" si="3"/>
        <v>44243.325421296257</v>
      </c>
      <c r="I22" s="63">
        <f t="shared" ca="1" si="0"/>
        <v>5.298854074637694E-3</v>
      </c>
      <c r="J22" s="67" cm="1">
        <f t="array" aca="1" ref="J22" ca="1">100*OptionPrice('Trading Dashboard'!$K$7,'Trading Dashboard'!$AB$7,'Trading Dashboard'!$K$8,'Trading Dashboard'!$AB$8,'Trading Dashboard'!$AB$10,'Trading Dashboard'!$AB$9,H22,'Trading Dashboard'!$AB$11)</f>
        <v>160.44826135695254</v>
      </c>
      <c r="K22" s="69">
        <f t="shared" ca="1" si="1"/>
        <v>2.6494272210425513E-2</v>
      </c>
    </row>
    <row r="23" spans="2:11" x14ac:dyDescent="0.3">
      <c r="B23">
        <v>21</v>
      </c>
      <c r="C23" s="62">
        <f t="shared" si="2"/>
        <v>2.8350000000000001E-4</v>
      </c>
      <c r="D23" s="65" cm="1">
        <f t="array" ref="D23">100*OptionPrice('Trading Dashboard'!$K$7,'Trading Dashboard'!$AB$7,'Trading Dashboard'!$K$8,C23,'Trading Dashboard'!$AB$10,'Trading Dashboard'!$AB$9,'Trading Dashboard'!$K$9,'Trading Dashboard'!$AB$11)</f>
        <v>276.26316880418176</v>
      </c>
      <c r="E23" s="62">
        <f>'Trading Dashboard'!$AB$8</f>
        <v>4.4999999999999999E-4</v>
      </c>
      <c r="G23">
        <v>21</v>
      </c>
      <c r="H23" s="64">
        <f t="shared" ca="1" si="3"/>
        <v>44243.392186863384</v>
      </c>
      <c r="I23" s="63">
        <f t="shared" ca="1" si="0"/>
        <v>5.5637968013350419E-3</v>
      </c>
      <c r="J23" s="67" cm="1">
        <f t="array" aca="1" ref="J23" ca="1">100*OptionPrice('Trading Dashboard'!$K$7,'Trading Dashboard'!$AB$7,'Trading Dashboard'!$K$8,'Trading Dashboard'!$AB$8,'Trading Dashboard'!$AB$10,'Trading Dashboard'!$AB$9,H23,'Trading Dashboard'!$AB$11)</f>
        <v>162.76525665809964</v>
      </c>
      <c r="K23" s="69">
        <f t="shared" ca="1" si="1"/>
        <v>2.6494272210425513E-2</v>
      </c>
    </row>
    <row r="24" spans="2:11" x14ac:dyDescent="0.3">
      <c r="B24">
        <v>22</v>
      </c>
      <c r="C24" s="62">
        <f t="shared" si="2"/>
        <v>2.9700000000000001E-4</v>
      </c>
      <c r="D24" s="65" cm="1">
        <f t="array" ref="D24">100*OptionPrice('Trading Dashboard'!$K$7,'Trading Dashboard'!$AB$7,'Trading Dashboard'!$K$8,C24,'Trading Dashboard'!$AB$10,'Trading Dashboard'!$AB$9,'Trading Dashboard'!$K$9,'Trading Dashboard'!$AB$11)</f>
        <v>276.26564154100748</v>
      </c>
      <c r="E24" s="62">
        <f>'Trading Dashboard'!$AB$8</f>
        <v>4.4999999999999999E-4</v>
      </c>
      <c r="G24">
        <v>22</v>
      </c>
      <c r="H24" s="64">
        <f t="shared" ca="1" si="3"/>
        <v>44243.458952430512</v>
      </c>
      <c r="I24" s="63">
        <f t="shared" ca="1" si="0"/>
        <v>5.828739528032389E-3</v>
      </c>
      <c r="J24" s="67" cm="1">
        <f t="array" aca="1" ref="J24" ca="1">100*OptionPrice('Trading Dashboard'!$K$7,'Trading Dashboard'!$AB$7,'Trading Dashboard'!$K$8,'Trading Dashboard'!$AB$8,'Trading Dashboard'!$AB$10,'Trading Dashboard'!$AB$9,H24,'Trading Dashboard'!$AB$11)</f>
        <v>165.04537089788622</v>
      </c>
      <c r="K24" s="69">
        <f t="shared" ca="1" si="1"/>
        <v>2.6494272210425513E-2</v>
      </c>
    </row>
    <row r="25" spans="2:11" x14ac:dyDescent="0.3">
      <c r="B25">
        <v>23</v>
      </c>
      <c r="C25" s="62">
        <f t="shared" si="2"/>
        <v>3.1050000000000001E-4</v>
      </c>
      <c r="D25" s="65" cm="1">
        <f t="array" ref="D25">100*OptionPrice('Trading Dashboard'!$K$7,'Trading Dashboard'!$AB$7,'Trading Dashboard'!$K$8,C25,'Trading Dashboard'!$AB$10,'Trading Dashboard'!$AB$9,'Trading Dashboard'!$K$9,'Trading Dashboard'!$AB$11)</f>
        <v>276.26811429118555</v>
      </c>
      <c r="E25" s="62">
        <f>'Trading Dashboard'!$AB$8</f>
        <v>4.4999999999999999E-4</v>
      </c>
      <c r="G25">
        <v>23</v>
      </c>
      <c r="H25" s="64">
        <f t="shared" ca="1" si="3"/>
        <v>44243.52571799764</v>
      </c>
      <c r="I25" s="63">
        <f t="shared" ca="1" si="0"/>
        <v>6.0936822547297369E-3</v>
      </c>
      <c r="J25" s="67" cm="1">
        <f t="array" aca="1" ref="J25" ca="1">100*OptionPrice('Trading Dashboard'!$K$7,'Trading Dashboard'!$AB$7,'Trading Dashboard'!$K$8,'Trading Dashboard'!$AB$8,'Trading Dashboard'!$AB$10,'Trading Dashboard'!$AB$9,H25,'Trading Dashboard'!$AB$11)</f>
        <v>167.29030308614321</v>
      </c>
      <c r="K25" s="69">
        <f t="shared" ca="1" si="1"/>
        <v>2.6494272210425513E-2</v>
      </c>
    </row>
    <row r="26" spans="2:11" x14ac:dyDescent="0.3">
      <c r="B26">
        <v>24</v>
      </c>
      <c r="C26" s="62">
        <f t="shared" si="2"/>
        <v>3.2400000000000001E-4</v>
      </c>
      <c r="D26" s="65" cm="1">
        <f t="array" ref="D26">100*OptionPrice('Trading Dashboard'!$K$7,'Trading Dashboard'!$AB$7,'Trading Dashboard'!$K$8,C26,'Trading Dashboard'!$AB$10,'Trading Dashboard'!$AB$9,'Trading Dashboard'!$K$9,'Trading Dashboard'!$AB$11)</f>
        <v>276.27058705473758</v>
      </c>
      <c r="E26" s="62">
        <f>'Trading Dashboard'!$AB$8</f>
        <v>4.4999999999999999E-4</v>
      </c>
      <c r="G26">
        <v>24</v>
      </c>
      <c r="H26" s="64">
        <f t="shared" ca="1" si="3"/>
        <v>44243.592483564767</v>
      </c>
      <c r="I26" s="63">
        <f t="shared" ca="1" si="0"/>
        <v>6.3586249814270848E-3</v>
      </c>
      <c r="J26" s="67" cm="1">
        <f t="array" aca="1" ref="J26" ca="1">100*OptionPrice('Trading Dashboard'!$K$7,'Trading Dashboard'!$AB$7,'Trading Dashboard'!$K$8,'Trading Dashboard'!$AB$8,'Trading Dashboard'!$AB$10,'Trading Dashboard'!$AB$9,H26,'Trading Dashboard'!$AB$11)</f>
        <v>169.50162565541439</v>
      </c>
      <c r="K26" s="69">
        <f t="shared" ca="1" si="1"/>
        <v>2.6494272210425513E-2</v>
      </c>
    </row>
    <row r="27" spans="2:11" x14ac:dyDescent="0.3">
      <c r="B27">
        <v>25</v>
      </c>
      <c r="C27" s="62">
        <f t="shared" si="2"/>
        <v>3.3750000000000002E-4</v>
      </c>
      <c r="D27" s="65" cm="1">
        <f t="array" ref="D27">100*OptionPrice('Trading Dashboard'!$K$7,'Trading Dashboard'!$AB$7,'Trading Dashboard'!$K$8,C27,'Trading Dashboard'!$AB$10,'Trading Dashboard'!$AB$9,'Trading Dashboard'!$K$9,'Trading Dashboard'!$AB$11)</f>
        <v>276.2730598316478</v>
      </c>
      <c r="E27" s="62">
        <f>'Trading Dashboard'!$AB$8</f>
        <v>4.4999999999999999E-4</v>
      </c>
      <c r="G27">
        <v>25</v>
      </c>
      <c r="H27" s="64">
        <f t="shared" ca="1" si="3"/>
        <v>44243.659249131895</v>
      </c>
      <c r="I27" s="63">
        <f t="shared" ca="1" si="0"/>
        <v>6.6235677081244327E-3</v>
      </c>
      <c r="J27" s="67" cm="1">
        <f t="array" aca="1" ref="J27" ca="1">100*OptionPrice('Trading Dashboard'!$K$7,'Trading Dashboard'!$AB$7,'Trading Dashboard'!$K$8,'Trading Dashboard'!$AB$8,'Trading Dashboard'!$AB$10,'Trading Dashboard'!$AB$9,H27,'Trading Dashboard'!$AB$11)</f>
        <v>171.68079728170383</v>
      </c>
      <c r="K27" s="69">
        <f t="shared" ca="1" si="1"/>
        <v>2.6494272210425513E-2</v>
      </c>
    </row>
    <row r="28" spans="2:11" x14ac:dyDescent="0.3">
      <c r="B28">
        <v>26</v>
      </c>
      <c r="C28" s="62">
        <f t="shared" si="2"/>
        <v>3.5100000000000002E-4</v>
      </c>
      <c r="D28" s="65" cm="1">
        <f t="array" ref="D28">100*OptionPrice('Trading Dashboard'!$K$7,'Trading Dashboard'!$AB$7,'Trading Dashboard'!$K$8,C28,'Trading Dashboard'!$AB$10,'Trading Dashboard'!$AB$9,'Trading Dashboard'!$K$9,'Trading Dashboard'!$AB$11)</f>
        <v>276.27553262192157</v>
      </c>
      <c r="E28" s="62">
        <f>'Trading Dashboard'!$AB$8</f>
        <v>4.4999999999999999E-4</v>
      </c>
      <c r="G28">
        <v>26</v>
      </c>
      <c r="H28" s="64">
        <f t="shared" ca="1" si="3"/>
        <v>44243.726014699023</v>
      </c>
      <c r="I28" s="63">
        <f t="shared" ca="1" si="0"/>
        <v>6.8885104348217806E-3</v>
      </c>
      <c r="J28" s="67" cm="1">
        <f t="array" aca="1" ref="J28" ca="1">100*OptionPrice('Trading Dashboard'!$K$7,'Trading Dashboard'!$AB$7,'Trading Dashboard'!$K$8,'Trading Dashboard'!$AB$8,'Trading Dashboard'!$AB$10,'Trading Dashboard'!$AB$9,H28,'Trading Dashboard'!$AB$11)</f>
        <v>173.82917408251183</v>
      </c>
      <c r="K28" s="69">
        <f t="shared" ca="1" si="1"/>
        <v>2.6494272210425513E-2</v>
      </c>
    </row>
    <row r="29" spans="2:11" x14ac:dyDescent="0.3">
      <c r="B29">
        <v>27</v>
      </c>
      <c r="C29" s="62">
        <f t="shared" si="2"/>
        <v>3.6450000000000002E-4</v>
      </c>
      <c r="D29" s="65" cm="1">
        <f t="array" ref="D29">100*OptionPrice('Trading Dashboard'!$K$7,'Trading Dashboard'!$AB$7,'Trading Dashboard'!$K$8,C29,'Trading Dashboard'!$AB$10,'Trading Dashboard'!$AB$9,'Trading Dashboard'!$K$9,'Trading Dashboard'!$AB$11)</f>
        <v>276.27800542554672</v>
      </c>
      <c r="E29" s="62">
        <f>'Trading Dashboard'!$AB$8</f>
        <v>4.4999999999999999E-4</v>
      </c>
      <c r="G29">
        <v>27</v>
      </c>
      <c r="H29" s="64">
        <f t="shared" ca="1" si="3"/>
        <v>44243.792780266151</v>
      </c>
      <c r="I29" s="63">
        <f t="shared" ca="1" si="0"/>
        <v>7.1534531615191277E-3</v>
      </c>
      <c r="J29" s="67" cm="1">
        <f t="array" aca="1" ref="J29" ca="1">100*OptionPrice('Trading Dashboard'!$K$7,'Trading Dashboard'!$AB$7,'Trading Dashboard'!$K$8,'Trading Dashboard'!$AB$8,'Trading Dashboard'!$AB$10,'Trading Dashboard'!$AB$9,H29,'Trading Dashboard'!$AB$11)</f>
        <v>175.94801943632066</v>
      </c>
      <c r="K29" s="69">
        <f t="shared" ca="1" si="1"/>
        <v>2.6494272210425513E-2</v>
      </c>
    </row>
    <row r="30" spans="2:11" x14ac:dyDescent="0.3">
      <c r="B30">
        <v>28</v>
      </c>
      <c r="C30" s="62">
        <f t="shared" si="2"/>
        <v>3.7800000000000003E-4</v>
      </c>
      <c r="D30" s="65" cm="1">
        <f t="array" ref="D30">100*OptionPrice('Trading Dashboard'!$K$7,'Trading Dashboard'!$AB$7,'Trading Dashboard'!$K$8,C30,'Trading Dashboard'!$AB$10,'Trading Dashboard'!$AB$9,'Trading Dashboard'!$K$9,'Trading Dashboard'!$AB$11)</f>
        <v>276.28047824254202</v>
      </c>
      <c r="E30" s="62">
        <f>'Trading Dashboard'!$AB$8</f>
        <v>4.4999999999999999E-4</v>
      </c>
      <c r="G30">
        <v>28</v>
      </c>
      <c r="H30" s="64">
        <f t="shared" ca="1" si="3"/>
        <v>44243.859545833278</v>
      </c>
      <c r="I30" s="63">
        <f t="shared" ca="1" si="0"/>
        <v>7.4183958882164756E-3</v>
      </c>
      <c r="J30" s="67" cm="1">
        <f t="array" aca="1" ref="J30" ca="1">100*OptionPrice('Trading Dashboard'!$K$7,'Trading Dashboard'!$AB$7,'Trading Dashboard'!$K$8,'Trading Dashboard'!$AB$8,'Trading Dashboard'!$AB$10,'Trading Dashboard'!$AB$9,H30,'Trading Dashboard'!$AB$11)</f>
        <v>178.03851262542526</v>
      </c>
      <c r="K30" s="69">
        <f t="shared" ca="1" si="1"/>
        <v>2.6494272210425513E-2</v>
      </c>
    </row>
    <row r="31" spans="2:11" x14ac:dyDescent="0.3">
      <c r="B31">
        <v>29</v>
      </c>
      <c r="C31" s="62">
        <f t="shared" si="2"/>
        <v>3.9150000000000003E-4</v>
      </c>
      <c r="D31" s="65" cm="1">
        <f t="array" ref="D31">100*OptionPrice('Trading Dashboard'!$K$7,'Trading Dashboard'!$AB$7,'Trading Dashboard'!$K$8,C31,'Trading Dashboard'!$AB$10,'Trading Dashboard'!$AB$9,'Trading Dashboard'!$K$9,'Trading Dashboard'!$AB$11)</f>
        <v>276.2829510728991</v>
      </c>
      <c r="E31" s="62">
        <f>'Trading Dashboard'!$AB$8</f>
        <v>4.4999999999999999E-4</v>
      </c>
      <c r="G31">
        <v>29</v>
      </c>
      <c r="H31" s="64">
        <f t="shared" ca="1" si="3"/>
        <v>44243.926311400406</v>
      </c>
      <c r="I31" s="63">
        <f t="shared" ca="1" si="0"/>
        <v>7.6833386149138235E-3</v>
      </c>
      <c r="J31" s="67" cm="1">
        <f t="array" aca="1" ref="J31" ca="1">100*OptionPrice('Trading Dashboard'!$K$7,'Trading Dashboard'!$AB$7,'Trading Dashboard'!$K$8,'Trading Dashboard'!$AB$8,'Trading Dashboard'!$AB$10,'Trading Dashboard'!$AB$9,H31,'Trading Dashboard'!$AB$11)</f>
        <v>180.10175646998695</v>
      </c>
      <c r="K31" s="69">
        <f t="shared" ca="1" si="1"/>
        <v>2.6494272210425513E-2</v>
      </c>
    </row>
    <row r="32" spans="2:11" x14ac:dyDescent="0.3">
      <c r="B32">
        <v>30</v>
      </c>
      <c r="C32" s="62">
        <f t="shared" si="2"/>
        <v>4.0500000000000003E-4</v>
      </c>
      <c r="D32" s="65" cm="1">
        <f t="array" ref="D32">100*OptionPrice('Trading Dashboard'!$K$7,'Trading Dashboard'!$AB$7,'Trading Dashboard'!$K$8,C32,'Trading Dashboard'!$AB$10,'Trading Dashboard'!$AB$9,'Trading Dashboard'!$K$9,'Trading Dashboard'!$AB$11)</f>
        <v>276.28542391661728</v>
      </c>
      <c r="E32" s="62">
        <f>'Trading Dashboard'!$AB$8</f>
        <v>4.4999999999999999E-4</v>
      </c>
      <c r="G32">
        <v>30</v>
      </c>
      <c r="H32" s="64">
        <f t="shared" ca="1" si="3"/>
        <v>44243.993076967534</v>
      </c>
      <c r="I32" s="63">
        <f t="shared" ca="1" si="0"/>
        <v>7.9482813416111714E-3</v>
      </c>
      <c r="J32" s="67" cm="1">
        <f t="array" aca="1" ref="J32" ca="1">100*OptionPrice('Trading Dashboard'!$K$7,'Trading Dashboard'!$AB$7,'Trading Dashboard'!$K$8,'Trading Dashboard'!$AB$8,'Trading Dashboard'!$AB$10,'Trading Dashboard'!$AB$9,H32,'Trading Dashboard'!$AB$11)</f>
        <v>182.13878409357923</v>
      </c>
      <c r="K32" s="69">
        <f t="shared" ca="1" si="1"/>
        <v>2.6494272210425513E-2</v>
      </c>
    </row>
    <row r="33" spans="2:11" x14ac:dyDescent="0.3">
      <c r="B33">
        <v>31</v>
      </c>
      <c r="C33" s="62">
        <f t="shared" si="2"/>
        <v>4.1850000000000004E-4</v>
      </c>
      <c r="D33" s="65" cm="1">
        <f t="array" ref="D33">100*OptionPrice('Trading Dashboard'!$K$7,'Trading Dashboard'!$AB$7,'Trading Dashboard'!$K$8,C33,'Trading Dashboard'!$AB$10,'Trading Dashboard'!$AB$9,'Trading Dashboard'!$K$9,'Trading Dashboard'!$AB$11)</f>
        <v>276.28789677368906</v>
      </c>
      <c r="E33" s="62">
        <f>'Trading Dashboard'!$AB$8</f>
        <v>4.4999999999999999E-4</v>
      </c>
      <c r="G33">
        <v>31</v>
      </c>
      <c r="H33" s="64">
        <f t="shared" ca="1" si="3"/>
        <v>44244.059842534662</v>
      </c>
      <c r="I33" s="63">
        <f t="shared" ca="1" si="0"/>
        <v>8.2132240683085184E-3</v>
      </c>
      <c r="J33" s="67" cm="1">
        <f t="array" aca="1" ref="J33" ca="1">100*OptionPrice('Trading Dashboard'!$K$7,'Trading Dashboard'!$AB$7,'Trading Dashboard'!$K$8,'Trading Dashboard'!$AB$8,'Trading Dashboard'!$AB$10,'Trading Dashboard'!$AB$9,H33,'Trading Dashboard'!$AB$11)</f>
        <v>184.1505649380284</v>
      </c>
      <c r="K33" s="69">
        <f t="shared" ca="1" si="1"/>
        <v>2.6494272210425513E-2</v>
      </c>
    </row>
    <row r="34" spans="2:11" x14ac:dyDescent="0.3">
      <c r="B34">
        <v>32</v>
      </c>
      <c r="C34" s="62">
        <f t="shared" si="2"/>
        <v>4.3200000000000004E-4</v>
      </c>
      <c r="D34" s="65" cm="1">
        <f t="array" ref="D34">100*OptionPrice('Trading Dashboard'!$K$7,'Trading Dashboard'!$AB$7,'Trading Dashboard'!$K$8,C34,'Trading Dashboard'!$AB$10,'Trading Dashboard'!$AB$9,'Trading Dashboard'!$K$9,'Trading Dashboard'!$AB$11)</f>
        <v>276.29036964412921</v>
      </c>
      <c r="E34" s="62">
        <f>'Trading Dashboard'!$AB$8</f>
        <v>4.4999999999999999E-4</v>
      </c>
      <c r="G34">
        <v>32</v>
      </c>
      <c r="H34" s="64">
        <f t="shared" ca="1" si="3"/>
        <v>44244.126608101789</v>
      </c>
      <c r="I34" s="63">
        <f t="shared" ca="1" si="0"/>
        <v>8.4781667950058672E-3</v>
      </c>
      <c r="J34" s="67" cm="1">
        <f t="array" aca="1" ref="J34" ca="1">100*OptionPrice('Trading Dashboard'!$K$7,'Trading Dashboard'!$AB$7,'Trading Dashboard'!$K$8,'Trading Dashboard'!$AB$8,'Trading Dashboard'!$AB$10,'Trading Dashboard'!$AB$9,H34,'Trading Dashboard'!$AB$11)</f>
        <v>186.13801012687821</v>
      </c>
      <c r="K34" s="69">
        <f t="shared" ca="1" si="1"/>
        <v>2.6494272210425513E-2</v>
      </c>
    </row>
    <row r="35" spans="2:11" x14ac:dyDescent="0.3">
      <c r="B35">
        <v>33</v>
      </c>
      <c r="C35" s="62">
        <f t="shared" si="2"/>
        <v>4.4550000000000004E-4</v>
      </c>
      <c r="D35" s="65" cm="1">
        <f t="array" ref="D35">100*OptionPrice('Trading Dashboard'!$K$7,'Trading Dashboard'!$AB$7,'Trading Dashboard'!$K$8,C35,'Trading Dashboard'!$AB$10,'Trading Dashboard'!$AB$9,'Trading Dashboard'!$K$9,'Trading Dashboard'!$AB$11)</f>
        <v>276.29284252793036</v>
      </c>
      <c r="E35" s="62">
        <f>'Trading Dashboard'!$AB$8</f>
        <v>4.4999999999999999E-4</v>
      </c>
      <c r="G35">
        <v>33</v>
      </c>
      <c r="H35" s="64">
        <f t="shared" ca="1" si="3"/>
        <v>44244.193373668917</v>
      </c>
      <c r="I35" s="63">
        <f t="shared" ca="1" si="0"/>
        <v>8.7431095217032143E-3</v>
      </c>
      <c r="J35" s="67" cm="1">
        <f t="array" aca="1" ref="J35" ca="1">100*OptionPrice('Trading Dashboard'!$K$7,'Trading Dashboard'!$AB$7,'Trading Dashboard'!$K$8,'Trading Dashboard'!$AB$8,'Trading Dashboard'!$AB$10,'Trading Dashboard'!$AB$9,H35,'Trading Dashboard'!$AB$11)</f>
        <v>188.10197726171353</v>
      </c>
      <c r="K35" s="69">
        <f t="shared" ca="1" si="1"/>
        <v>2.6494272210425513E-2</v>
      </c>
    </row>
    <row r="36" spans="2:11" x14ac:dyDescent="0.3">
      <c r="B36">
        <v>34</v>
      </c>
      <c r="C36" s="62">
        <f t="shared" si="2"/>
        <v>4.5900000000000004E-4</v>
      </c>
      <c r="D36" s="65" cm="1">
        <f t="array" ref="D36">100*OptionPrice('Trading Dashboard'!$K$7,'Trading Dashboard'!$AB$7,'Trading Dashboard'!$K$8,C36,'Trading Dashboard'!$AB$10,'Trading Dashboard'!$AB$9,'Trading Dashboard'!$K$9,'Trading Dashboard'!$AB$11)</f>
        <v>276.2953154250954</v>
      </c>
      <c r="E36" s="62">
        <f>'Trading Dashboard'!$AB$8</f>
        <v>4.4999999999999999E-4</v>
      </c>
      <c r="G36">
        <v>34</v>
      </c>
      <c r="H36" s="64">
        <f t="shared" ca="1" si="3"/>
        <v>44244.260139236045</v>
      </c>
      <c r="I36" s="63">
        <f t="shared" ca="1" si="0"/>
        <v>9.0080522484005613E-3</v>
      </c>
      <c r="J36" s="67" cm="1">
        <f t="array" aca="1" ref="J36" ca="1">100*OptionPrice('Trading Dashboard'!$K$7,'Trading Dashboard'!$AB$7,'Trading Dashboard'!$K$8,'Trading Dashboard'!$AB$8,'Trading Dashboard'!$AB$10,'Trading Dashboard'!$AB$9,H36,'Trading Dashboard'!$AB$11)</f>
        <v>190.04327472293019</v>
      </c>
      <c r="K36" s="69">
        <f t="shared" ca="1" si="1"/>
        <v>2.6494272210425513E-2</v>
      </c>
    </row>
    <row r="37" spans="2:11" x14ac:dyDescent="0.3">
      <c r="B37">
        <v>35</v>
      </c>
      <c r="C37" s="62">
        <f t="shared" si="2"/>
        <v>4.7250000000000005E-4</v>
      </c>
      <c r="D37" s="65" cm="1">
        <f t="array" ref="D37">100*OptionPrice('Trading Dashboard'!$K$7,'Trading Dashboard'!$AB$7,'Trading Dashboard'!$K$8,C37,'Trading Dashboard'!$AB$10,'Trading Dashboard'!$AB$9,'Trading Dashboard'!$K$9,'Trading Dashboard'!$AB$11)</f>
        <v>276.29778833560937</v>
      </c>
      <c r="E37" s="62">
        <f>'Trading Dashboard'!$AB$8</f>
        <v>4.4999999999999999E-4</v>
      </c>
      <c r="G37">
        <v>35</v>
      </c>
      <c r="H37" s="64">
        <f t="shared" ca="1" si="3"/>
        <v>44244.326904803173</v>
      </c>
      <c r="I37" s="63">
        <f t="shared" ca="1" si="0"/>
        <v>9.2729949750979101E-3</v>
      </c>
      <c r="J37" s="67" cm="1">
        <f t="array" aca="1" ref="J37" ca="1">100*OptionPrice('Trading Dashboard'!$K$7,'Trading Dashboard'!$AB$7,'Trading Dashboard'!$K$8,'Trading Dashboard'!$AB$8,'Trading Dashboard'!$AB$10,'Trading Dashboard'!$AB$9,H37,'Trading Dashboard'!$AB$11)</f>
        <v>191.96266553613225</v>
      </c>
      <c r="K37" s="69">
        <f t="shared" ca="1" si="1"/>
        <v>2.6494272210425513E-2</v>
      </c>
    </row>
    <row r="38" spans="2:11" x14ac:dyDescent="0.3">
      <c r="B38">
        <v>36</v>
      </c>
      <c r="C38" s="62">
        <f t="shared" si="2"/>
        <v>4.8600000000000005E-4</v>
      </c>
      <c r="D38" s="65" cm="1">
        <f t="array" ref="D38">100*OptionPrice('Trading Dashboard'!$K$7,'Trading Dashboard'!$AB$7,'Trading Dashboard'!$K$8,C38,'Trading Dashboard'!$AB$10,'Trading Dashboard'!$AB$9,'Trading Dashboard'!$K$9,'Trading Dashboard'!$AB$11)</f>
        <v>276.30026125949468</v>
      </c>
      <c r="E38" s="62">
        <f>'Trading Dashboard'!$AB$8</f>
        <v>4.4999999999999999E-4</v>
      </c>
      <c r="G38">
        <v>36</v>
      </c>
      <c r="H38" s="64">
        <f t="shared" ca="1" si="3"/>
        <v>44244.3936703703</v>
      </c>
      <c r="I38" s="63">
        <f t="shared" ca="1" si="0"/>
        <v>9.5379377017952571E-3</v>
      </c>
      <c r="J38" s="67" cm="1">
        <f t="array" aca="1" ref="J38" ca="1">100*OptionPrice('Trading Dashboard'!$K$7,'Trading Dashboard'!$AB$7,'Trading Dashboard'!$K$8,'Trading Dashboard'!$AB$8,'Trading Dashboard'!$AB$10,'Trading Dashboard'!$AB$9,H38,'Trading Dashboard'!$AB$11)</f>
        <v>193.86087085660731</v>
      </c>
      <c r="K38" s="69">
        <f t="shared" ca="1" si="1"/>
        <v>2.6494272210425513E-2</v>
      </c>
    </row>
    <row r="39" spans="2:11" x14ac:dyDescent="0.3">
      <c r="B39">
        <v>37</v>
      </c>
      <c r="C39" s="62">
        <f t="shared" si="2"/>
        <v>4.9950000000000005E-4</v>
      </c>
      <c r="D39" s="65" cm="1">
        <f t="array" ref="D39">100*OptionPrice('Trading Dashboard'!$K$7,'Trading Dashboard'!$AB$7,'Trading Dashboard'!$K$8,C39,'Trading Dashboard'!$AB$10,'Trading Dashboard'!$AB$9,'Trading Dashboard'!$K$9,'Trading Dashboard'!$AB$11)</f>
        <v>276.30273419674222</v>
      </c>
      <c r="E39" s="62">
        <f>'Trading Dashboard'!$AB$8</f>
        <v>4.4999999999999999E-4</v>
      </c>
      <c r="G39">
        <v>37</v>
      </c>
      <c r="H39" s="64">
        <f t="shared" ca="1" si="3"/>
        <v>44244.460435937428</v>
      </c>
      <c r="I39" s="63">
        <f t="shared" ca="1" si="0"/>
        <v>9.8028804284926059E-3</v>
      </c>
      <c r="J39" s="67" cm="1">
        <f t="array" aca="1" ref="J39" ca="1">100*OptionPrice('Trading Dashboard'!$K$7,'Trading Dashboard'!$AB$7,'Trading Dashboard'!$K$8,'Trading Dashboard'!$AB$8,'Trading Dashboard'!$AB$10,'Trading Dashboard'!$AB$9,H39,'Trading Dashboard'!$AB$11)</f>
        <v>195.73857311700337</v>
      </c>
      <c r="K39" s="69">
        <f t="shared" ca="1" si="1"/>
        <v>2.6494272210425513E-2</v>
      </c>
    </row>
    <row r="40" spans="2:11" x14ac:dyDescent="0.3">
      <c r="B40">
        <v>38</v>
      </c>
      <c r="C40" s="62">
        <f t="shared" si="2"/>
        <v>5.13E-4</v>
      </c>
      <c r="D40" s="65" cm="1">
        <f t="array" ref="D40">100*OptionPrice('Trading Dashboard'!$K$7,'Trading Dashboard'!$AB$7,'Trading Dashboard'!$K$8,C40,'Trading Dashboard'!$AB$10,'Trading Dashboard'!$AB$9,'Trading Dashboard'!$K$9,'Trading Dashboard'!$AB$11)</f>
        <v>276.30520714735434</v>
      </c>
      <c r="E40" s="62">
        <f>'Trading Dashboard'!$AB$8</f>
        <v>4.4999999999999999E-4</v>
      </c>
      <c r="G40">
        <v>38</v>
      </c>
      <c r="H40" s="64">
        <f t="shared" ca="1" si="3"/>
        <v>44244.527201504556</v>
      </c>
      <c r="I40" s="63">
        <f t="shared" ca="1" si="0"/>
        <v>1.0067823155189953E-2</v>
      </c>
      <c r="J40" s="67" cm="1">
        <f t="array" aca="1" ref="J40" ca="1">100*OptionPrice('Trading Dashboard'!$K$7,'Trading Dashboard'!$AB$7,'Trading Dashboard'!$K$8,'Trading Dashboard'!$AB$8,'Trading Dashboard'!$AB$10,'Trading Dashboard'!$AB$9,H40,'Trading Dashboard'!$AB$11)</f>
        <v>197.59641887713627</v>
      </c>
      <c r="K40" s="69">
        <f t="shared" ca="1" si="1"/>
        <v>2.6494272210425513E-2</v>
      </c>
    </row>
    <row r="41" spans="2:11" x14ac:dyDescent="0.3">
      <c r="B41">
        <v>39</v>
      </c>
      <c r="C41" s="62">
        <f t="shared" si="2"/>
        <v>5.2649999999999995E-4</v>
      </c>
      <c r="D41" s="65" cm="1">
        <f t="array" ref="D41">100*OptionPrice('Trading Dashboard'!$K$7,'Trading Dashboard'!$AB$7,'Trading Dashboard'!$K$8,C41,'Trading Dashboard'!$AB$10,'Trading Dashboard'!$AB$9,'Trading Dashboard'!$K$9,'Trading Dashboard'!$AB$11)</f>
        <v>276.30768011131227</v>
      </c>
      <c r="E41" s="62">
        <f>'Trading Dashboard'!$AB$8</f>
        <v>4.4999999999999999E-4</v>
      </c>
      <c r="G41">
        <v>39</v>
      </c>
      <c r="H41" s="64">
        <f t="shared" ca="1" si="3"/>
        <v>44244.593967071683</v>
      </c>
      <c r="I41" s="63">
        <f t="shared" ca="1" si="0"/>
        <v>1.03327658818873E-2</v>
      </c>
      <c r="J41" s="67" cm="1">
        <f t="array" aca="1" ref="J41" ca="1">100*OptionPrice('Trading Dashboard'!$K$7,'Trading Dashboard'!$AB$7,'Trading Dashboard'!$K$8,'Trading Dashboard'!$AB$8,'Trading Dashboard'!$AB$10,'Trading Dashboard'!$AB$9,H41,'Trading Dashboard'!$AB$11)</f>
        <v>199.43502140971398</v>
      </c>
      <c r="K41" s="69">
        <f t="shared" ca="1" si="1"/>
        <v>2.6494272210425513E-2</v>
      </c>
    </row>
    <row r="42" spans="2:11" x14ac:dyDescent="0.3">
      <c r="B42">
        <v>40</v>
      </c>
      <c r="C42" s="62">
        <f t="shared" si="2"/>
        <v>5.399999999999999E-4</v>
      </c>
      <c r="D42" s="65" cm="1">
        <f t="array" ref="D42">100*OptionPrice('Trading Dashboard'!$K$7,'Trading Dashboard'!$AB$7,'Trading Dashboard'!$K$8,C42,'Trading Dashboard'!$AB$10,'Trading Dashboard'!$AB$9,'Trading Dashboard'!$K$9,'Trading Dashboard'!$AB$11)</f>
        <v>276.31015308864431</v>
      </c>
      <c r="E42" s="62">
        <f>'Trading Dashboard'!$AB$8</f>
        <v>4.4999999999999999E-4</v>
      </c>
      <c r="G42">
        <v>40</v>
      </c>
      <c r="H42" s="64">
        <f t="shared" ca="1" si="3"/>
        <v>44244.660732638811</v>
      </c>
      <c r="I42" s="63">
        <f t="shared" ca="1" si="0"/>
        <v>1.0597708608584649E-2</v>
      </c>
      <c r="J42" s="67" cm="1">
        <f t="array" aca="1" ref="J42" ca="1">100*OptionPrice('Trading Dashboard'!$K$7,'Trading Dashboard'!$AB$7,'Trading Dashboard'!$K$8,'Trading Dashboard'!$AB$8,'Trading Dashboard'!$AB$10,'Trading Dashboard'!$AB$9,H42,'Trading Dashboard'!$AB$11)</f>
        <v>201.25496305122562</v>
      </c>
      <c r="K42" s="69">
        <f t="shared" ca="1" si="1"/>
        <v>2.6494272210425513E-2</v>
      </c>
    </row>
    <row r="43" spans="2:11" x14ac:dyDescent="0.3">
      <c r="B43">
        <v>41</v>
      </c>
      <c r="C43" s="62">
        <f t="shared" si="2"/>
        <v>5.5349999999999985E-4</v>
      </c>
      <c r="D43" s="65" cm="1">
        <f t="array" ref="D43">100*OptionPrice('Trading Dashboard'!$K$7,'Trading Dashboard'!$AB$7,'Trading Dashboard'!$K$8,C43,'Trading Dashboard'!$AB$10,'Trading Dashboard'!$AB$9,'Trading Dashboard'!$K$9,'Trading Dashboard'!$AB$11)</f>
        <v>276.31262607933473</v>
      </c>
      <c r="E43" s="62">
        <f>'Trading Dashboard'!$AB$8</f>
        <v>4.4999999999999999E-4</v>
      </c>
      <c r="G43">
        <v>41</v>
      </c>
      <c r="H43" s="64">
        <f t="shared" ca="1" si="3"/>
        <v>44244.727498205939</v>
      </c>
      <c r="I43" s="63">
        <f t="shared" ca="1" si="0"/>
        <v>1.0862651335281996E-2</v>
      </c>
      <c r="J43" s="67" cm="1">
        <f t="array" aca="1" ref="J43" ca="1">100*OptionPrice('Trading Dashboard'!$K$7,'Trading Dashboard'!$AB$7,'Trading Dashboard'!$K$8,'Trading Dashboard'!$AB$8,'Trading Dashboard'!$AB$10,'Trading Dashboard'!$AB$9,H43,'Trading Dashboard'!$AB$11)</f>
        <v>203.05679734360814</v>
      </c>
      <c r="K43" s="69">
        <f t="shared" ca="1" si="1"/>
        <v>2.6494272210425513E-2</v>
      </c>
    </row>
    <row r="44" spans="2:11" x14ac:dyDescent="0.3">
      <c r="B44">
        <v>42</v>
      </c>
      <c r="C44" s="62">
        <f t="shared" si="2"/>
        <v>5.669999999999998E-4</v>
      </c>
      <c r="D44" s="65" cm="1">
        <f t="array" ref="D44">100*OptionPrice('Trading Dashboard'!$K$7,'Trading Dashboard'!$AB$7,'Trading Dashboard'!$K$8,C44,'Trading Dashboard'!$AB$10,'Trading Dashboard'!$AB$9,'Trading Dashboard'!$K$9,'Trading Dashboard'!$AB$11)</f>
        <v>276.31509908338813</v>
      </c>
      <c r="E44" s="62">
        <f>'Trading Dashboard'!$AB$8</f>
        <v>4.4999999999999999E-4</v>
      </c>
      <c r="G44">
        <v>42</v>
      </c>
      <c r="H44" s="64">
        <f t="shared" ca="1" si="3"/>
        <v>44244.794263773067</v>
      </c>
      <c r="I44" s="63">
        <f t="shared" ca="1" si="0"/>
        <v>1.1127594061979345E-2</v>
      </c>
      <c r="J44" s="67" cm="1">
        <f t="array" aca="1" ref="J44" ca="1">100*OptionPrice('Trading Dashboard'!$K$7,'Trading Dashboard'!$AB$7,'Trading Dashboard'!$K$8,'Trading Dashboard'!$AB$8,'Trading Dashboard'!$AB$10,'Trading Dashboard'!$AB$9,H44,'Trading Dashboard'!$AB$11)</f>
        <v>204.84105098896285</v>
      </c>
      <c r="K44" s="69">
        <f t="shared" ca="1" si="1"/>
        <v>2.6494272210425513E-2</v>
      </c>
    </row>
    <row r="45" spans="2:11" x14ac:dyDescent="0.3">
      <c r="B45">
        <v>43</v>
      </c>
      <c r="C45" s="62">
        <f t="shared" si="2"/>
        <v>5.8049999999999974E-4</v>
      </c>
      <c r="D45" s="65" cm="1">
        <f t="array" ref="D45">100*OptionPrice('Trading Dashboard'!$K$7,'Trading Dashboard'!$AB$7,'Trading Dashboard'!$K$8,C45,'Trading Dashboard'!$AB$10,'Trading Dashboard'!$AB$9,'Trading Dashboard'!$K$9,'Trading Dashboard'!$AB$11)</f>
        <v>276.31757210079462</v>
      </c>
      <c r="E45" s="62">
        <f>'Trading Dashboard'!$AB$8</f>
        <v>4.4999999999999999E-4</v>
      </c>
      <c r="G45">
        <v>43</v>
      </c>
      <c r="H45" s="64">
        <f t="shared" ca="1" si="3"/>
        <v>44244.861029340194</v>
      </c>
      <c r="I45" s="63">
        <f t="shared" ca="1" si="0"/>
        <v>1.1392536788676692E-2</v>
      </c>
      <c r="J45" s="67" cm="1">
        <f t="array" aca="1" ref="J45" ca="1">100*OptionPrice('Trading Dashboard'!$K$7,'Trading Dashboard'!$AB$7,'Trading Dashboard'!$K$8,'Trading Dashboard'!$AB$8,'Trading Dashboard'!$AB$10,'Trading Dashboard'!$AB$9,H45,'Trading Dashboard'!$AB$11)</f>
        <v>206.60822563691775</v>
      </c>
      <c r="K45" s="69">
        <f t="shared" ca="1" si="1"/>
        <v>2.6494272210425513E-2</v>
      </c>
    </row>
    <row r="46" spans="2:11" x14ac:dyDescent="0.3">
      <c r="B46">
        <v>44</v>
      </c>
      <c r="C46" s="62">
        <f t="shared" si="2"/>
        <v>5.9399999999999969E-4</v>
      </c>
      <c r="D46" s="65" cm="1">
        <f t="array" ref="D46">100*OptionPrice('Trading Dashboard'!$K$7,'Trading Dashboard'!$AB$7,'Trading Dashboard'!$K$8,C46,'Trading Dashboard'!$AB$10,'Trading Dashboard'!$AB$9,'Trading Dashboard'!$K$9,'Trading Dashboard'!$AB$11)</f>
        <v>276.32004513156841</v>
      </c>
      <c r="E46" s="62">
        <f>'Trading Dashboard'!$AB$8</f>
        <v>4.4999999999999999E-4</v>
      </c>
      <c r="G46">
        <v>44</v>
      </c>
      <c r="H46" s="64">
        <f t="shared" ca="1" si="3"/>
        <v>44244.927794907322</v>
      </c>
      <c r="I46" s="63">
        <f t="shared" ca="1" si="0"/>
        <v>1.1657479515374039E-2</v>
      </c>
      <c r="J46" s="67" cm="1">
        <f t="array" aca="1" ref="J46" ca="1">100*OptionPrice('Trading Dashboard'!$K$7,'Trading Dashboard'!$AB$7,'Trading Dashboard'!$K$8,'Trading Dashboard'!$AB$8,'Trading Dashboard'!$AB$10,'Trading Dashboard'!$AB$9,H46,'Trading Dashboard'!$AB$11)</f>
        <v>208.35879952180042</v>
      </c>
      <c r="K46" s="69">
        <f t="shared" ca="1" si="1"/>
        <v>2.6494272210425513E-2</v>
      </c>
    </row>
    <row r="47" spans="2:11" x14ac:dyDescent="0.3">
      <c r="B47">
        <v>45</v>
      </c>
      <c r="C47" s="62">
        <f t="shared" si="2"/>
        <v>6.0749999999999964E-4</v>
      </c>
      <c r="D47" s="65" cm="1">
        <f t="array" ref="D47">100*OptionPrice('Trading Dashboard'!$K$7,'Trading Dashboard'!$AB$7,'Trading Dashboard'!$K$8,C47,'Trading Dashboard'!$AB$10,'Trading Dashboard'!$AB$9,'Trading Dashboard'!$K$9,'Trading Dashboard'!$AB$11)</f>
        <v>276.32251817570716</v>
      </c>
      <c r="E47" s="62">
        <f>'Trading Dashboard'!$AB$8</f>
        <v>4.4999999999999999E-4</v>
      </c>
      <c r="G47">
        <v>45</v>
      </c>
      <c r="H47" s="64">
        <f t="shared" ca="1" si="3"/>
        <v>44244.99456047445</v>
      </c>
      <c r="I47" s="63">
        <f t="shared" ca="1" si="0"/>
        <v>1.1922422242071387E-2</v>
      </c>
      <c r="J47" s="67" cm="1">
        <f t="array" aca="1" ref="J47" ca="1">100*OptionPrice('Trading Dashboard'!$K$7,'Trading Dashboard'!$AB$7,'Trading Dashboard'!$K$8,'Trading Dashboard'!$AB$8,'Trading Dashboard'!$AB$10,'Trading Dashboard'!$AB$9,H47,'Trading Dashboard'!$AB$11)</f>
        <v>210.09322896476675</v>
      </c>
      <c r="K47" s="69">
        <f t="shared" ca="1" si="1"/>
        <v>2.6494272210425513E-2</v>
      </c>
    </row>
    <row r="48" spans="2:11" x14ac:dyDescent="0.3">
      <c r="B48">
        <v>46</v>
      </c>
      <c r="C48" s="62">
        <f t="shared" si="2"/>
        <v>6.2099999999999959E-4</v>
      </c>
      <c r="D48" s="65" cm="1">
        <f t="array" ref="D48">100*OptionPrice('Trading Dashboard'!$K$7,'Trading Dashboard'!$AB$7,'Trading Dashboard'!$K$8,C48,'Trading Dashboard'!$AB$10,'Trading Dashboard'!$AB$9,'Trading Dashboard'!$K$9,'Trading Dashboard'!$AB$11)</f>
        <v>276.32499123320417</v>
      </c>
      <c r="E48" s="62">
        <f>'Trading Dashboard'!$AB$8</f>
        <v>4.4999999999999999E-4</v>
      </c>
      <c r="G48">
        <v>46</v>
      </c>
      <c r="H48" s="64">
        <f t="shared" ca="1" si="3"/>
        <v>44245.061326041578</v>
      </c>
      <c r="I48" s="63">
        <f t="shared" ca="1" si="0"/>
        <v>1.2187364968768735E-2</v>
      </c>
      <c r="J48" s="67" cm="1">
        <f t="array" aca="1" ref="J48" ca="1">100*OptionPrice('Trading Dashboard'!$K$7,'Trading Dashboard'!$AB$7,'Trading Dashboard'!$K$8,'Trading Dashboard'!$AB$8,'Trading Dashboard'!$AB$10,'Trading Dashboard'!$AB$9,H48,'Trading Dashboard'!$AB$11)</f>
        <v>211.81194975428221</v>
      </c>
      <c r="K48" s="69">
        <f t="shared" ca="1" si="1"/>
        <v>2.6494272210425513E-2</v>
      </c>
    </row>
    <row r="49" spans="2:11" x14ac:dyDescent="0.3">
      <c r="B49">
        <v>47</v>
      </c>
      <c r="C49" s="62">
        <f t="shared" si="2"/>
        <v>6.3449999999999954E-4</v>
      </c>
      <c r="D49" s="65" cm="1">
        <f t="array" ref="D49">100*OptionPrice('Trading Dashboard'!$K$7,'Trading Dashboard'!$AB$7,'Trading Dashboard'!$K$8,C49,'Trading Dashboard'!$AB$10,'Trading Dashboard'!$AB$9,'Trading Dashboard'!$K$9,'Trading Dashboard'!$AB$11)</f>
        <v>276.327464304052</v>
      </c>
      <c r="E49" s="62">
        <f>'Trading Dashboard'!$AB$8</f>
        <v>4.4999999999999999E-4</v>
      </c>
      <c r="G49">
        <v>47</v>
      </c>
      <c r="H49" s="64">
        <f t="shared" ca="1" si="3"/>
        <v>44245.128091608705</v>
      </c>
      <c r="I49" s="63">
        <f t="shared" ca="1" si="0"/>
        <v>1.2452307695466083E-2</v>
      </c>
      <c r="J49" s="67" cm="1">
        <f t="array" aca="1" ref="J49" ca="1">100*OptionPrice('Trading Dashboard'!$K$7,'Trading Dashboard'!$AB$7,'Trading Dashboard'!$K$8,'Trading Dashboard'!$AB$8,'Trading Dashboard'!$AB$10,'Trading Dashboard'!$AB$9,H49,'Trading Dashboard'!$AB$11)</f>
        <v>213.51537841673394</v>
      </c>
      <c r="K49" s="69">
        <f t="shared" ca="1" si="1"/>
        <v>2.6494272210425513E-2</v>
      </c>
    </row>
    <row r="50" spans="2:11" x14ac:dyDescent="0.3">
      <c r="B50">
        <v>48</v>
      </c>
      <c r="C50" s="62">
        <f t="shared" si="2"/>
        <v>6.4799999999999949E-4</v>
      </c>
      <c r="D50" s="65" cm="1">
        <f t="array" ref="D50">100*OptionPrice('Trading Dashboard'!$K$7,'Trading Dashboard'!$AB$7,'Trading Dashboard'!$K$8,C50,'Trading Dashboard'!$AB$10,'Trading Dashboard'!$AB$9,'Trading Dashboard'!$K$9,'Trading Dashboard'!$AB$11)</f>
        <v>276.32993738827139</v>
      </c>
      <c r="E50" s="62">
        <f>'Trading Dashboard'!$AB$8</f>
        <v>4.4999999999999999E-4</v>
      </c>
      <c r="G50">
        <v>48</v>
      </c>
      <c r="H50" s="64">
        <f t="shared" ca="1" si="3"/>
        <v>44245.194857175833</v>
      </c>
      <c r="I50" s="63">
        <f t="shared" ca="1" si="0"/>
        <v>1.271725042216343E-2</v>
      </c>
      <c r="J50" s="67" cm="1">
        <f t="array" aca="1" ref="J50" ca="1">100*OptionPrice('Trading Dashboard'!$K$7,'Trading Dashboard'!$AB$7,'Trading Dashboard'!$K$8,'Trading Dashboard'!$AB$8,'Trading Dashboard'!$AB$10,'Trading Dashboard'!$AB$9,H50,'Trading Dashboard'!$AB$11)</f>
        <v>215.20391338772927</v>
      </c>
      <c r="K50" s="69">
        <f t="shared" ca="1" si="1"/>
        <v>2.6494272210425513E-2</v>
      </c>
    </row>
    <row r="51" spans="2:11" x14ac:dyDescent="0.3">
      <c r="B51">
        <v>49</v>
      </c>
      <c r="C51" s="62">
        <f t="shared" si="2"/>
        <v>6.6149999999999944E-4</v>
      </c>
      <c r="D51" s="65" cm="1">
        <f t="array" ref="D51">100*OptionPrice('Trading Dashboard'!$K$7,'Trading Dashboard'!$AB$7,'Trading Dashboard'!$K$8,C51,'Trading Dashboard'!$AB$10,'Trading Dashboard'!$AB$9,'Trading Dashboard'!$K$9,'Trading Dashboard'!$AB$11)</f>
        <v>276.33241048585268</v>
      </c>
      <c r="E51" s="62">
        <f>'Trading Dashboard'!$AB$8</f>
        <v>4.4999999999999999E-4</v>
      </c>
      <c r="G51">
        <v>49</v>
      </c>
      <c r="H51" s="64">
        <f t="shared" ca="1" si="3"/>
        <v>44245.261622742961</v>
      </c>
      <c r="I51" s="63">
        <f t="shared" ca="1" si="0"/>
        <v>1.2982193148860777E-2</v>
      </c>
      <c r="J51" s="67" cm="1">
        <f t="array" aca="1" ref="J51" ca="1">100*OptionPrice('Trading Dashboard'!$K$7,'Trading Dashboard'!$AB$7,'Trading Dashboard'!$K$8,'Trading Dashboard'!$AB$8,'Trading Dashboard'!$AB$10,'Trading Dashboard'!$AB$9,H51,'Trading Dashboard'!$AB$11)</f>
        <v>216.87793609335921</v>
      </c>
      <c r="K51" s="69">
        <f t="shared" ca="1" si="1"/>
        <v>2.6494272210425513E-2</v>
      </c>
    </row>
    <row r="52" spans="2:11" x14ac:dyDescent="0.3">
      <c r="B52">
        <v>50</v>
      </c>
      <c r="C52" s="62">
        <f t="shared" si="2"/>
        <v>6.7499999999999939E-4</v>
      </c>
      <c r="D52" s="65" cm="1">
        <f t="array" ref="D52">100*OptionPrice('Trading Dashboard'!$K$7,'Trading Dashboard'!$AB$7,'Trading Dashboard'!$K$8,C52,'Trading Dashboard'!$AB$10,'Trading Dashboard'!$AB$9,'Trading Dashboard'!$K$9,'Trading Dashboard'!$AB$11)</f>
        <v>276.33488359679581</v>
      </c>
      <c r="E52" s="62">
        <f>'Trading Dashboard'!$AB$8</f>
        <v>4.4999999999999999E-4</v>
      </c>
      <c r="G52">
        <v>50</v>
      </c>
      <c r="H52" s="64">
        <f t="shared" ca="1" si="3"/>
        <v>44245.328388310088</v>
      </c>
      <c r="I52" s="63">
        <f t="shared" ca="1" si="0"/>
        <v>1.3247135875558126E-2</v>
      </c>
      <c r="J52" s="67" cm="1">
        <f t="array" aca="1" ref="J52" ca="1">100*OptionPrice('Trading Dashboard'!$K$7,'Trading Dashboard'!$AB$7,'Trading Dashboard'!$K$8,'Trading Dashboard'!$AB$8,'Trading Dashboard'!$AB$10,'Trading Dashboard'!$AB$9,H52,'Trading Dashboard'!$AB$11)</f>
        <v>218.53781194978325</v>
      </c>
      <c r="K52" s="69">
        <f t="shared" ca="1" si="1"/>
        <v>2.6494272210425513E-2</v>
      </c>
    </row>
    <row r="53" spans="2:11" x14ac:dyDescent="0.3">
      <c r="B53">
        <v>51</v>
      </c>
      <c r="C53" s="62">
        <f t="shared" si="2"/>
        <v>6.8849999999999933E-4</v>
      </c>
      <c r="D53" s="65" cm="1">
        <f t="array" ref="D53">100*OptionPrice('Trading Dashboard'!$K$7,'Trading Dashboard'!$AB$7,'Trading Dashboard'!$K$8,C53,'Trading Dashboard'!$AB$10,'Trading Dashboard'!$AB$9,'Trading Dashboard'!$K$9,'Trading Dashboard'!$AB$11)</f>
        <v>276.33735672108884</v>
      </c>
      <c r="E53" s="62">
        <f>'Trading Dashboard'!$AB$8</f>
        <v>4.4999999999999999E-4</v>
      </c>
      <c r="G53">
        <v>51</v>
      </c>
      <c r="H53" s="64">
        <f t="shared" ca="1" si="3"/>
        <v>44245.395153877216</v>
      </c>
      <c r="I53" s="63">
        <f t="shared" ca="1" si="0"/>
        <v>1.3512078602255473E-2</v>
      </c>
      <c r="J53" s="67" cm="1">
        <f t="array" aca="1" ref="J53" ca="1">100*OptionPrice('Trading Dashboard'!$K$7,'Trading Dashboard'!$AB$7,'Trading Dashboard'!$K$8,'Trading Dashboard'!$AB$8,'Trading Dashboard'!$AB$10,'Trading Dashboard'!$AB$9,H53,'Trading Dashboard'!$AB$11)</f>
        <v>220.18389128852402</v>
      </c>
      <c r="K53" s="69">
        <f t="shared" ca="1" si="1"/>
        <v>2.6494272210425513E-2</v>
      </c>
    </row>
    <row r="54" spans="2:11" x14ac:dyDescent="0.3">
      <c r="B54">
        <v>52</v>
      </c>
      <c r="C54" s="62">
        <f t="shared" si="2"/>
        <v>7.0199999999999928E-4</v>
      </c>
      <c r="D54" s="65" cm="1">
        <f t="array" ref="D54">100*OptionPrice('Trading Dashboard'!$K$7,'Trading Dashboard'!$AB$7,'Trading Dashboard'!$K$8,C54,'Trading Dashboard'!$AB$10,'Trading Dashboard'!$AB$9,'Trading Dashboard'!$K$9,'Trading Dashboard'!$AB$11)</f>
        <v>276.33982985875406</v>
      </c>
      <c r="E54" s="62">
        <f>'Trading Dashboard'!$AB$8</f>
        <v>4.4999999999999999E-4</v>
      </c>
      <c r="G54">
        <v>52</v>
      </c>
      <c r="H54" s="64">
        <f t="shared" ca="1" si="3"/>
        <v>44245.461919444344</v>
      </c>
      <c r="I54" s="63">
        <f t="shared" ca="1" si="0"/>
        <v>1.3777021328952822E-2</v>
      </c>
      <c r="J54" s="67" cm="1">
        <f t="array" aca="1" ref="J54" ca="1">100*OptionPrice('Trading Dashboard'!$K$7,'Trading Dashboard'!$AB$7,'Trading Dashboard'!$K$8,'Trading Dashboard'!$AB$8,'Trading Dashboard'!$AB$10,'Trading Dashboard'!$AB$9,H54,'Trading Dashboard'!$AB$11)</f>
        <v>221.81651021412017</v>
      </c>
      <c r="K54" s="69">
        <f t="shared" ca="1" si="1"/>
        <v>2.6494272210425513E-2</v>
      </c>
    </row>
    <row r="55" spans="2:11" x14ac:dyDescent="0.3">
      <c r="B55">
        <v>53</v>
      </c>
      <c r="C55" s="62">
        <f t="shared" si="2"/>
        <v>7.1549999999999923E-4</v>
      </c>
      <c r="D55" s="65" cm="1">
        <f t="array" ref="D55">100*OptionPrice('Trading Dashboard'!$K$7,'Trading Dashboard'!$AB$7,'Trading Dashboard'!$K$8,C55,'Trading Dashboard'!$AB$10,'Trading Dashboard'!$AB$9,'Trading Dashboard'!$K$9,'Trading Dashboard'!$AB$11)</f>
        <v>276.34230300977799</v>
      </c>
      <c r="E55" s="62">
        <f>'Trading Dashboard'!$AB$8</f>
        <v>4.4999999999999999E-4</v>
      </c>
      <c r="G55">
        <v>53</v>
      </c>
      <c r="H55" s="64">
        <f t="shared" ca="1" si="3"/>
        <v>44245.528685011472</v>
      </c>
      <c r="I55" s="63">
        <f t="shared" ca="1" si="0"/>
        <v>1.4041964055650169E-2</v>
      </c>
      <c r="J55" s="67" cm="1">
        <f t="array" aca="1" ref="J55" ca="1">100*OptionPrice('Trading Dashboard'!$K$7,'Trading Dashboard'!$AB$7,'Trading Dashboard'!$K$8,'Trading Dashboard'!$AB$8,'Trading Dashboard'!$AB$10,'Trading Dashboard'!$AB$9,H55,'Trading Dashboard'!$AB$11)</f>
        <v>223.4359914000959</v>
      </c>
      <c r="K55" s="69">
        <f t="shared" ca="1" si="1"/>
        <v>2.6494272210425513E-2</v>
      </c>
    </row>
    <row r="56" spans="2:11" x14ac:dyDescent="0.3">
      <c r="B56">
        <v>54</v>
      </c>
      <c r="C56" s="62">
        <f t="shared" si="2"/>
        <v>7.2899999999999918E-4</v>
      </c>
      <c r="D56" s="65" cm="1">
        <f t="array" ref="D56">100*OptionPrice('Trading Dashboard'!$K$7,'Trading Dashboard'!$AB$7,'Trading Dashboard'!$K$8,C56,'Trading Dashboard'!$AB$10,'Trading Dashboard'!$AB$9,'Trading Dashboard'!$K$9,'Trading Dashboard'!$AB$11)</f>
        <v>276.34477617416439</v>
      </c>
      <c r="E56" s="62">
        <f>'Trading Dashboard'!$AB$8</f>
        <v>4.4999999999999999E-4</v>
      </c>
      <c r="G56">
        <v>54</v>
      </c>
      <c r="H56" s="64">
        <f t="shared" ca="1" si="3"/>
        <v>44245.595450578599</v>
      </c>
      <c r="I56" s="63">
        <f t="shared" ca="1" si="0"/>
        <v>1.4306906782347516E-2</v>
      </c>
      <c r="J56" s="67" cm="1">
        <f t="array" aca="1" ref="J56" ca="1">100*OptionPrice('Trading Dashboard'!$K$7,'Trading Dashboard'!$AB$7,'Trading Dashboard'!$K$8,'Trading Dashboard'!$AB$8,'Trading Dashboard'!$AB$10,'Trading Dashboard'!$AB$9,H56,'Trading Dashboard'!$AB$11)</f>
        <v>225.04264482855439</v>
      </c>
      <c r="K56" s="69">
        <f t="shared" ca="1" si="1"/>
        <v>2.6494272210425513E-2</v>
      </c>
    </row>
    <row r="57" spans="2:11" x14ac:dyDescent="0.3">
      <c r="B57">
        <v>55</v>
      </c>
      <c r="C57" s="62">
        <f t="shared" si="2"/>
        <v>7.4249999999999913E-4</v>
      </c>
      <c r="D57" s="65" cm="1">
        <f t="array" ref="D57">100*OptionPrice('Trading Dashboard'!$K$7,'Trading Dashboard'!$AB$7,'Trading Dashboard'!$K$8,C57,'Trading Dashboard'!$AB$10,'Trading Dashboard'!$AB$9,'Trading Dashboard'!$K$9,'Trading Dashboard'!$AB$11)</f>
        <v>276.34724935190206</v>
      </c>
      <c r="E57" s="62">
        <f>'Trading Dashboard'!$AB$8</f>
        <v>4.4999999999999999E-4</v>
      </c>
      <c r="G57">
        <v>55</v>
      </c>
      <c r="H57" s="64">
        <f t="shared" ca="1" si="3"/>
        <v>44245.662216145727</v>
      </c>
      <c r="I57" s="63">
        <f t="shared" ca="1" si="0"/>
        <v>1.4571849509044865E-2</v>
      </c>
      <c r="J57" s="67" cm="1">
        <f t="array" aca="1" ref="J57" ca="1">100*OptionPrice('Trading Dashboard'!$K$7,'Trading Dashboard'!$AB$7,'Trading Dashboard'!$K$8,'Trading Dashboard'!$AB$8,'Trading Dashboard'!$AB$10,'Trading Dashboard'!$AB$9,H57,'Trading Dashboard'!$AB$11)</f>
        <v>226.63676847824695</v>
      </c>
      <c r="K57" s="69">
        <f t="shared" ca="1" si="1"/>
        <v>2.6494272210425513E-2</v>
      </c>
    </row>
    <row r="58" spans="2:11" x14ac:dyDescent="0.3">
      <c r="B58">
        <v>56</v>
      </c>
      <c r="C58" s="62">
        <f t="shared" si="2"/>
        <v>7.5599999999999908E-4</v>
      </c>
      <c r="D58" s="65" cm="1">
        <f t="array" ref="D58">100*OptionPrice('Trading Dashboard'!$K$7,'Trading Dashboard'!$AB$7,'Trading Dashboard'!$K$8,C58,'Trading Dashboard'!$AB$10,'Trading Dashboard'!$AB$9,'Trading Dashboard'!$K$9,'Trading Dashboard'!$AB$11)</f>
        <v>276.34972254300806</v>
      </c>
      <c r="E58" s="62">
        <f>'Trading Dashboard'!$AB$8</f>
        <v>4.4999999999999999E-4</v>
      </c>
      <c r="G58">
        <v>56</v>
      </c>
      <c r="H58" s="64">
        <f t="shared" ca="1" si="3"/>
        <v>44245.728981712855</v>
      </c>
      <c r="I58" s="63">
        <f t="shared" ca="1" si="0"/>
        <v>1.4836792235742212E-2</v>
      </c>
      <c r="J58" s="67" cm="1">
        <f t="array" aca="1" ref="J58" ca="1">100*OptionPrice('Trading Dashboard'!$K$7,'Trading Dashboard'!$AB$7,'Trading Dashboard'!$K$8,'Trading Dashboard'!$AB$8,'Trading Dashboard'!$AB$10,'Trading Dashboard'!$AB$9,H58,'Trading Dashboard'!$AB$11)</f>
        <v>228.21864896537778</v>
      </c>
      <c r="K58" s="69">
        <f t="shared" ca="1" si="1"/>
        <v>2.6494272210425513E-2</v>
      </c>
    </row>
    <row r="59" spans="2:11" x14ac:dyDescent="0.3">
      <c r="B59">
        <v>57</v>
      </c>
      <c r="C59" s="62">
        <f t="shared" si="2"/>
        <v>7.6949999999999903E-4</v>
      </c>
      <c r="D59" s="65" cm="1">
        <f t="array" ref="D59">100*OptionPrice('Trading Dashboard'!$K$7,'Trading Dashboard'!$AB$7,'Trading Dashboard'!$K$8,C59,'Trading Dashboard'!$AB$10,'Trading Dashboard'!$AB$9,'Trading Dashboard'!$K$9,'Trading Dashboard'!$AB$11)</f>
        <v>276.35219574747936</v>
      </c>
      <c r="E59" s="62">
        <f>'Trading Dashboard'!$AB$8</f>
        <v>4.4999999999999999E-4</v>
      </c>
      <c r="G59">
        <v>57</v>
      </c>
      <c r="H59" s="64">
        <f t="shared" ca="1" si="3"/>
        <v>44245.795747279983</v>
      </c>
      <c r="I59" s="63">
        <f t="shared" ca="1" si="0"/>
        <v>1.5101734962439561E-2</v>
      </c>
      <c r="J59" s="67" cm="1">
        <f t="array" aca="1" ref="J59" ca="1">100*OptionPrice('Trading Dashboard'!$K$7,'Trading Dashboard'!$AB$7,'Trading Dashboard'!$K$8,'Trading Dashboard'!$AB$8,'Trading Dashboard'!$AB$10,'Trading Dashboard'!$AB$9,H59,'Trading Dashboard'!$AB$11)</f>
        <v>229.78856214111053</v>
      </c>
      <c r="K59" s="69">
        <f t="shared" ca="1" si="1"/>
        <v>2.6494272210425513E-2</v>
      </c>
    </row>
    <row r="60" spans="2:11" x14ac:dyDescent="0.3">
      <c r="B60">
        <v>58</v>
      </c>
      <c r="C60" s="62">
        <f t="shared" si="2"/>
        <v>7.8299999999999897E-4</v>
      </c>
      <c r="D60" s="65" cm="1">
        <f t="array" ref="D60">100*OptionPrice('Trading Dashboard'!$K$7,'Trading Dashboard'!$AB$7,'Trading Dashboard'!$K$8,C60,'Trading Dashboard'!$AB$10,'Trading Dashboard'!$AB$9,'Trading Dashboard'!$K$9,'Trading Dashboard'!$AB$11)</f>
        <v>276.35466896531</v>
      </c>
      <c r="E60" s="62">
        <f>'Trading Dashboard'!$AB$8</f>
        <v>4.4999999999999999E-4</v>
      </c>
      <c r="G60">
        <v>58</v>
      </c>
      <c r="H60" s="64">
        <f t="shared" ca="1" si="3"/>
        <v>44245.86251284711</v>
      </c>
      <c r="I60" s="63">
        <f t="shared" ca="1" si="0"/>
        <v>1.5366677689136908E-2</v>
      </c>
      <c r="J60" s="67" cm="1">
        <f t="array" aca="1" ref="J60" ca="1">100*OptionPrice('Trading Dashboard'!$K$7,'Trading Dashboard'!$AB$7,'Trading Dashboard'!$K$8,'Trading Dashboard'!$AB$8,'Trading Dashboard'!$AB$10,'Trading Dashboard'!$AB$9,H60,'Trading Dashboard'!$AB$11)</f>
        <v>231.34677364925923</v>
      </c>
      <c r="K60" s="69">
        <f t="shared" ca="1" si="1"/>
        <v>2.6494272210425513E-2</v>
      </c>
    </row>
    <row r="61" spans="2:11" x14ac:dyDescent="0.3">
      <c r="B61">
        <v>59</v>
      </c>
      <c r="C61" s="62">
        <f t="shared" si="2"/>
        <v>7.9649999999999892E-4</v>
      </c>
      <c r="D61" s="65" cm="1">
        <f t="array" ref="D61">100*OptionPrice('Trading Dashboard'!$K$7,'Trading Dashboard'!$AB$7,'Trading Dashboard'!$K$8,C61,'Trading Dashboard'!$AB$10,'Trading Dashboard'!$AB$9,'Trading Dashboard'!$K$9,'Trading Dashboard'!$AB$11)</f>
        <v>276.35714219648804</v>
      </c>
      <c r="E61" s="62">
        <f>'Trading Dashboard'!$AB$8</f>
        <v>4.4999999999999999E-4</v>
      </c>
      <c r="G61">
        <v>59</v>
      </c>
      <c r="H61" s="64">
        <f t="shared" ca="1" si="3"/>
        <v>44245.929278414238</v>
      </c>
      <c r="I61" s="63">
        <f t="shared" ca="1" si="0"/>
        <v>1.5631620415834255E-2</v>
      </c>
      <c r="J61" s="67" cm="1">
        <f t="array" aca="1" ref="J61" ca="1">100*OptionPrice('Trading Dashboard'!$K$7,'Trading Dashboard'!$AB$7,'Trading Dashboard'!$K$8,'Trading Dashboard'!$AB$8,'Trading Dashboard'!$AB$10,'Trading Dashboard'!$AB$9,H61,'Trading Dashboard'!$AB$11)</f>
        <v>232.89353944739455</v>
      </c>
      <c r="K61" s="69">
        <f t="shared" ca="1" si="1"/>
        <v>2.6494272210425513E-2</v>
      </c>
    </row>
    <row r="62" spans="2:11" x14ac:dyDescent="0.3">
      <c r="B62">
        <v>60</v>
      </c>
      <c r="C62" s="62">
        <f t="shared" si="2"/>
        <v>8.0999999999999887E-4</v>
      </c>
      <c r="D62" s="65" cm="1">
        <f t="array" ref="D62">100*OptionPrice('Trading Dashboard'!$K$7,'Trading Dashboard'!$AB$7,'Trading Dashboard'!$K$8,C62,'Trading Dashboard'!$AB$10,'Trading Dashboard'!$AB$9,'Trading Dashboard'!$K$9,'Trading Dashboard'!$AB$11)</f>
        <v>276.35961544103941</v>
      </c>
      <c r="E62" s="62">
        <f>'Trading Dashboard'!$AB$8</f>
        <v>4.4999999999999999E-4</v>
      </c>
      <c r="G62">
        <v>60</v>
      </c>
      <c r="H62" s="64">
        <f t="shared" ca="1" si="3"/>
        <v>44245.996043981366</v>
      </c>
      <c r="I62" s="63">
        <f t="shared" ca="1" si="0"/>
        <v>1.5896563142531604E-2</v>
      </c>
      <c r="J62" s="67" cm="1">
        <f t="array" aca="1" ref="J62" ca="1">100*OptionPrice('Trading Dashboard'!$K$7,'Trading Dashboard'!$AB$7,'Trading Dashboard'!$K$8,'Trading Dashboard'!$AB$8,'Trading Dashboard'!$AB$10,'Trading Dashboard'!$AB$9,H62,'Trading Dashboard'!$AB$11)</f>
        <v>234.42910629420211</v>
      </c>
      <c r="K62" s="69">
        <f t="shared" ca="1" si="1"/>
        <v>2.6494272210425513E-2</v>
      </c>
    </row>
    <row r="63" spans="2:11" x14ac:dyDescent="0.3">
      <c r="B63">
        <v>61</v>
      </c>
      <c r="C63" s="62">
        <f t="shared" si="2"/>
        <v>8.2349999999999882E-4</v>
      </c>
      <c r="D63" s="65" cm="1">
        <f t="array" ref="D63">100*OptionPrice('Trading Dashboard'!$K$7,'Trading Dashboard'!$AB$7,'Trading Dashboard'!$K$8,C63,'Trading Dashboard'!$AB$10,'Trading Dashboard'!$AB$9,'Trading Dashboard'!$K$9,'Trading Dashboard'!$AB$11)</f>
        <v>276.36208869895302</v>
      </c>
      <c r="E63" s="62">
        <f>'Trading Dashboard'!$AB$8</f>
        <v>4.4999999999999999E-4</v>
      </c>
      <c r="G63">
        <v>61</v>
      </c>
      <c r="H63" s="64">
        <f t="shared" ca="1" si="3"/>
        <v>44246.062809548494</v>
      </c>
      <c r="I63" s="63">
        <f t="shared" ca="1" si="0"/>
        <v>1.6161505869228952E-2</v>
      </c>
      <c r="J63" s="67" cm="1">
        <f t="array" aca="1" ref="J63" ca="1">100*OptionPrice('Trading Dashboard'!$K$7,'Trading Dashboard'!$AB$7,'Trading Dashboard'!$K$8,'Trading Dashboard'!$AB$8,'Trading Dashboard'!$AB$10,'Trading Dashboard'!$AB$9,H63,'Trading Dashboard'!$AB$11)</f>
        <v>235.95371220579167</v>
      </c>
      <c r="K63" s="69">
        <f t="shared" ca="1" si="1"/>
        <v>2.6494272210425513E-2</v>
      </c>
    </row>
    <row r="64" spans="2:11" x14ac:dyDescent="0.3">
      <c r="B64">
        <v>62</v>
      </c>
      <c r="C64" s="62">
        <f t="shared" si="2"/>
        <v>8.3699999999999877E-4</v>
      </c>
      <c r="D64" s="65" cm="1">
        <f t="array" ref="D64">100*OptionPrice('Trading Dashboard'!$K$7,'Trading Dashboard'!$AB$7,'Trading Dashboard'!$K$8,C64,'Trading Dashboard'!$AB$10,'Trading Dashboard'!$AB$9,'Trading Dashboard'!$K$9,'Trading Dashboard'!$AB$11)</f>
        <v>276.36456197022659</v>
      </c>
      <c r="E64" s="62">
        <f>'Trading Dashboard'!$AB$8</f>
        <v>4.4999999999999999E-4</v>
      </c>
      <c r="G64">
        <v>62</v>
      </c>
      <c r="H64" s="64">
        <f t="shared" ca="1" si="3"/>
        <v>44246.129575115621</v>
      </c>
      <c r="I64" s="63">
        <f t="shared" ca="1" si="0"/>
        <v>1.6426448595926298E-2</v>
      </c>
      <c r="J64" s="67" cm="1">
        <f t="array" aca="1" ref="J64" ca="1">100*OptionPrice('Trading Dashboard'!$K$7,'Trading Dashboard'!$AB$7,'Trading Dashboard'!$K$8,'Trading Dashboard'!$AB$8,'Trading Dashboard'!$AB$10,'Trading Dashboard'!$AB$9,H64,'Trading Dashboard'!$AB$11)</f>
        <v>237.46758688329507</v>
      </c>
      <c r="K64" s="69">
        <f t="shared" ca="1" si="1"/>
        <v>2.6494272210425513E-2</v>
      </c>
    </row>
    <row r="65" spans="2:11" x14ac:dyDescent="0.3">
      <c r="B65">
        <v>63</v>
      </c>
      <c r="C65" s="62">
        <f t="shared" si="2"/>
        <v>8.5049999999999872E-4</v>
      </c>
      <c r="D65" s="65" cm="1">
        <f t="array" ref="D65">100*OptionPrice('Trading Dashboard'!$K$7,'Trading Dashboard'!$AB$7,'Trading Dashboard'!$K$8,C65,'Trading Dashboard'!$AB$10,'Trading Dashboard'!$AB$9,'Trading Dashboard'!$K$9,'Trading Dashboard'!$AB$11)</f>
        <v>276.36703525485029</v>
      </c>
      <c r="E65" s="62">
        <f>'Trading Dashboard'!$AB$8</f>
        <v>4.4999999999999999E-4</v>
      </c>
      <c r="G65">
        <v>63</v>
      </c>
      <c r="H65" s="64">
        <f t="shared" ca="1" si="3"/>
        <v>44246.196340682749</v>
      </c>
      <c r="I65" s="63">
        <f t="shared" ca="1" si="0"/>
        <v>1.6691391322623646E-2</v>
      </c>
      <c r="J65" s="67" cm="1">
        <f t="array" aca="1" ref="J65" ca="1">100*OptionPrice('Trading Dashboard'!$K$7,'Trading Dashboard'!$AB$7,'Trading Dashboard'!$K$8,'Trading Dashboard'!$AB$8,'Trading Dashboard'!$AB$10,'Trading Dashboard'!$AB$9,H65,'Trading Dashboard'!$AB$11)</f>
        <v>238.97095211395259</v>
      </c>
      <c r="K65" s="69">
        <f t="shared" ca="1" si="1"/>
        <v>2.6494272210425513E-2</v>
      </c>
    </row>
    <row r="66" spans="2:11" x14ac:dyDescent="0.3">
      <c r="B66">
        <v>64</v>
      </c>
      <c r="C66" s="62">
        <f t="shared" si="2"/>
        <v>8.6399999999999867E-4</v>
      </c>
      <c r="D66" s="65" cm="1">
        <f t="array" ref="D66">100*OptionPrice('Trading Dashboard'!$K$7,'Trading Dashboard'!$AB$7,'Trading Dashboard'!$K$8,C66,'Trading Dashboard'!$AB$10,'Trading Dashboard'!$AB$9,'Trading Dashboard'!$K$9,'Trading Dashboard'!$AB$11)</f>
        <v>276.3695085528451</v>
      </c>
      <c r="E66" s="62">
        <f>'Trading Dashboard'!$AB$8</f>
        <v>4.4999999999999999E-4</v>
      </c>
      <c r="G66">
        <v>64</v>
      </c>
      <c r="H66" s="64">
        <f t="shared" ca="1" si="3"/>
        <v>44246.263106249877</v>
      </c>
      <c r="I66" s="63">
        <f t="shared" ca="1" si="0"/>
        <v>1.6956334049320995E-2</v>
      </c>
      <c r="J66" s="67" cm="1">
        <f t="array" aca="1" ref="J66" ca="1">100*OptionPrice('Trading Dashboard'!$K$7,'Trading Dashboard'!$AB$7,'Trading Dashboard'!$K$8,'Trading Dashboard'!$AB$8,'Trading Dashboard'!$AB$10,'Trading Dashboard'!$AB$9,H66,'Trading Dashboard'!$AB$11)</f>
        <v>240.46402214765149</v>
      </c>
      <c r="K66" s="69">
        <f t="shared" ca="1" si="1"/>
        <v>2.6494272210425513E-2</v>
      </c>
    </row>
    <row r="67" spans="2:11" x14ac:dyDescent="0.3">
      <c r="B67">
        <v>65</v>
      </c>
      <c r="C67" s="62">
        <f t="shared" si="2"/>
        <v>8.7749999999999862E-4</v>
      </c>
      <c r="D67" s="65" cm="1">
        <f t="array" ref="D67">100*OptionPrice('Trading Dashboard'!$K$7,'Trading Dashboard'!$AB$7,'Trading Dashboard'!$K$8,C67,'Trading Dashboard'!$AB$10,'Trading Dashboard'!$AB$9,'Trading Dashboard'!$K$9,'Trading Dashboard'!$AB$11)</f>
        <v>276.37198186420119</v>
      </c>
      <c r="E67" s="62">
        <f>'Trading Dashboard'!$AB$8</f>
        <v>4.4999999999999999E-4</v>
      </c>
      <c r="G67">
        <v>65</v>
      </c>
      <c r="H67" s="64">
        <f t="shared" ca="1" si="3"/>
        <v>44246.329871817004</v>
      </c>
      <c r="I67" s="63">
        <f t="shared" ref="I67:I102" ca="1" si="4">(H67-NOW())/252</f>
        <v>1.7221276776018341E-2</v>
      </c>
      <c r="J67" s="67" cm="1">
        <f t="array" aca="1" ref="J67" ca="1">100*OptionPrice('Trading Dashboard'!$K$7,'Trading Dashboard'!$AB$7,'Trading Dashboard'!$K$8,'Trading Dashboard'!$AB$8,'Trading Dashboard'!$AB$10,'Trading Dashboard'!$AB$9,H67,'Trading Dashboard'!$AB$11)</f>
        <v>241.94700405074542</v>
      </c>
      <c r="K67" s="69">
        <f t="shared" ref="K67:K102" ca="1" si="5">$I$102</f>
        <v>2.6494272210425513E-2</v>
      </c>
    </row>
    <row r="68" spans="2:11" x14ac:dyDescent="0.3">
      <c r="B68">
        <v>66</v>
      </c>
      <c r="C68" s="62">
        <f t="shared" ref="C68:C101" si="6">C67+$A$8</f>
        <v>8.9099999999999856E-4</v>
      </c>
      <c r="D68" s="65" cm="1">
        <f t="array" ref="D68">100*OptionPrice('Trading Dashboard'!$K$7,'Trading Dashboard'!$AB$7,'Trading Dashboard'!$K$8,C68,'Trading Dashboard'!$AB$10,'Trading Dashboard'!$AB$9,'Trading Dashboard'!$K$9,'Trading Dashboard'!$AB$11)</f>
        <v>276.37445518891781</v>
      </c>
      <c r="E68" s="62">
        <f>'Trading Dashboard'!$AB$8</f>
        <v>4.4999999999999999E-4</v>
      </c>
      <c r="G68">
        <v>66</v>
      </c>
      <c r="H68" s="64">
        <f t="shared" ref="H68:H101" ca="1" si="7">H67+$F$8</f>
        <v>44246.396637384132</v>
      </c>
      <c r="I68" s="63">
        <f t="shared" ca="1" si="4"/>
        <v>1.7486219502715689E-2</v>
      </c>
      <c r="J68" s="67" cm="1">
        <f t="array" aca="1" ref="J68" ca="1">100*OptionPrice('Trading Dashboard'!$K$7,'Trading Dashboard'!$AB$7,'Trading Dashboard'!$K$8,'Trading Dashboard'!$AB$8,'Trading Dashboard'!$AB$10,'Trading Dashboard'!$AB$9,H68,'Trading Dashboard'!$AB$11)</f>
        <v>243.42009803881214</v>
      </c>
      <c r="K68" s="69">
        <f t="shared" ca="1" si="5"/>
        <v>2.6494272210425513E-2</v>
      </c>
    </row>
    <row r="69" spans="2:11" x14ac:dyDescent="0.3">
      <c r="B69">
        <v>67</v>
      </c>
      <c r="C69" s="62">
        <f t="shared" si="6"/>
        <v>9.0449999999999851E-4</v>
      </c>
      <c r="D69" s="65" cm="1">
        <f t="array" ref="D69">100*OptionPrice('Trading Dashboard'!$K$7,'Trading Dashboard'!$AB$7,'Trading Dashboard'!$K$8,C69,'Trading Dashboard'!$AB$10,'Trading Dashboard'!$AB$9,'Trading Dashboard'!$K$9,'Trading Dashboard'!$AB$11)</f>
        <v>276.37692852698603</v>
      </c>
      <c r="E69" s="62">
        <f>'Trading Dashboard'!$AB$8</f>
        <v>4.4999999999999999E-4</v>
      </c>
      <c r="G69">
        <v>67</v>
      </c>
      <c r="H69" s="64">
        <f t="shared" ca="1" si="7"/>
        <v>44246.46340295126</v>
      </c>
      <c r="I69" s="63">
        <f t="shared" ca="1" si="4"/>
        <v>1.7751162229413038E-2</v>
      </c>
      <c r="J69" s="67" cm="1">
        <f t="array" aca="1" ref="J69" ca="1">100*OptionPrice('Trading Dashboard'!$K$7,'Trading Dashboard'!$AB$7,'Trading Dashboard'!$K$8,'Trading Dashboard'!$AB$8,'Trading Dashboard'!$AB$10,'Trading Dashboard'!$AB$9,H69,'Trading Dashboard'!$AB$11)</f>
        <v>244.88349778982888</v>
      </c>
      <c r="K69" s="69">
        <f t="shared" ca="1" si="5"/>
        <v>2.6494272210425513E-2</v>
      </c>
    </row>
    <row r="70" spans="2:11" x14ac:dyDescent="0.3">
      <c r="B70">
        <v>68</v>
      </c>
      <c r="C70" s="62">
        <f t="shared" si="6"/>
        <v>9.1799999999999846E-4</v>
      </c>
      <c r="D70" s="65" cm="1">
        <f t="array" ref="D70">100*OptionPrice('Trading Dashboard'!$K$7,'Trading Dashboard'!$AB$7,'Trading Dashboard'!$K$8,C70,'Trading Dashboard'!$AB$10,'Trading Dashboard'!$AB$9,'Trading Dashboard'!$K$9,'Trading Dashboard'!$AB$11)</f>
        <v>276.37940187842435</v>
      </c>
      <c r="E70" s="62">
        <f>'Trading Dashboard'!$AB$8</f>
        <v>4.4999999999999999E-4</v>
      </c>
      <c r="G70">
        <v>68</v>
      </c>
      <c r="H70" s="64">
        <f t="shared" ca="1" si="7"/>
        <v>44246.530168518388</v>
      </c>
      <c r="I70" s="63">
        <f t="shared" ca="1" si="4"/>
        <v>1.8016104956110383E-2</v>
      </c>
      <c r="J70" s="67" cm="1">
        <f t="array" aca="1" ref="J70" ca="1">100*OptionPrice('Trading Dashboard'!$K$7,'Trading Dashboard'!$AB$7,'Trading Dashboard'!$K$8,'Trading Dashboard'!$AB$8,'Trading Dashboard'!$AB$10,'Trading Dashboard'!$AB$9,H70,'Trading Dashboard'!$AB$11)</f>
        <v>246.33739073919321</v>
      </c>
      <c r="K70" s="69">
        <f t="shared" ca="1" si="5"/>
        <v>2.6494272210425513E-2</v>
      </c>
    </row>
    <row r="71" spans="2:11" x14ac:dyDescent="0.3">
      <c r="B71">
        <v>69</v>
      </c>
      <c r="C71" s="62">
        <f t="shared" si="6"/>
        <v>9.3149999999999841E-4</v>
      </c>
      <c r="D71" s="65" cm="1">
        <f t="array" ref="D71">100*OptionPrice('Trading Dashboard'!$K$7,'Trading Dashboard'!$AB$7,'Trading Dashboard'!$K$8,C71,'Trading Dashboard'!$AB$10,'Trading Dashboard'!$AB$9,'Trading Dashboard'!$K$9,'Trading Dashboard'!$AB$11)</f>
        <v>276.3818752432216</v>
      </c>
      <c r="E71" s="62">
        <f>'Trading Dashboard'!$AB$8</f>
        <v>4.4999999999999999E-4</v>
      </c>
      <c r="G71">
        <v>69</v>
      </c>
      <c r="H71" s="64">
        <f t="shared" ca="1" si="7"/>
        <v>44246.596934085515</v>
      </c>
      <c r="I71" s="63">
        <f t="shared" ca="1" si="4"/>
        <v>1.8281047682807732E-2</v>
      </c>
      <c r="J71" s="67" cm="1">
        <f t="array" aca="1" ref="J71" ca="1">100*OptionPrice('Trading Dashboard'!$K$7,'Trading Dashboard'!$AB$7,'Trading Dashboard'!$K$8,'Trading Dashboard'!$AB$8,'Trading Dashboard'!$AB$10,'Trading Dashboard'!$AB$9,H71,'Trading Dashboard'!$AB$11)</f>
        <v>247.78195835784675</v>
      </c>
      <c r="K71" s="69">
        <f t="shared" ca="1" si="5"/>
        <v>2.6494272210425513E-2</v>
      </c>
    </row>
    <row r="72" spans="2:11" x14ac:dyDescent="0.3">
      <c r="B72">
        <v>70</v>
      </c>
      <c r="C72" s="62">
        <f t="shared" si="6"/>
        <v>9.4499999999999836E-4</v>
      </c>
      <c r="D72" s="65" cm="1">
        <f t="array" ref="D72">100*OptionPrice('Trading Dashboard'!$K$7,'Trading Dashboard'!$AB$7,'Trading Dashboard'!$K$8,C72,'Trading Dashboard'!$AB$10,'Trading Dashboard'!$AB$9,'Trading Dashboard'!$K$9,'Trading Dashboard'!$AB$11)</f>
        <v>276.38434862138143</v>
      </c>
      <c r="E72" s="62">
        <f>'Trading Dashboard'!$AB$8</f>
        <v>4.4999999999999999E-4</v>
      </c>
      <c r="G72">
        <v>70</v>
      </c>
      <c r="H72" s="64">
        <f t="shared" ca="1" si="7"/>
        <v>44246.663699652643</v>
      </c>
      <c r="I72" s="63">
        <f t="shared" ca="1" si="4"/>
        <v>1.8545990409505081E-2</v>
      </c>
      <c r="J72" s="67" cm="1">
        <f t="array" aca="1" ref="J72" ca="1">100*OptionPrice('Trading Dashboard'!$K$7,'Trading Dashboard'!$AB$7,'Trading Dashboard'!$K$8,'Trading Dashboard'!$AB$8,'Trading Dashboard'!$AB$10,'Trading Dashboard'!$AB$9,H72,'Trading Dashboard'!$AB$11)</f>
        <v>249.21737641465259</v>
      </c>
      <c r="K72" s="69">
        <f t="shared" ca="1" si="5"/>
        <v>2.6494272210425513E-2</v>
      </c>
    </row>
    <row r="73" spans="2:11" x14ac:dyDescent="0.3">
      <c r="B73">
        <v>71</v>
      </c>
      <c r="C73" s="62">
        <f t="shared" si="6"/>
        <v>9.5849999999999831E-4</v>
      </c>
      <c r="D73" s="65" cm="1">
        <f t="array" ref="D73">100*OptionPrice('Trading Dashboard'!$K$7,'Trading Dashboard'!$AB$7,'Trading Dashboard'!$K$8,C73,'Trading Dashboard'!$AB$10,'Trading Dashboard'!$AB$9,'Trading Dashboard'!$K$9,'Trading Dashboard'!$AB$11)</f>
        <v>276.38682201289203</v>
      </c>
      <c r="E73" s="62">
        <f>'Trading Dashboard'!$AB$8</f>
        <v>4.4999999999999999E-4</v>
      </c>
      <c r="G73">
        <v>71</v>
      </c>
      <c r="H73" s="64">
        <f t="shared" ca="1" si="7"/>
        <v>44246.730465219771</v>
      </c>
      <c r="I73" s="63">
        <f t="shared" ca="1" si="4"/>
        <v>1.881093313620243E-2</v>
      </c>
      <c r="J73" s="67" cm="1">
        <f t="array" aca="1" ref="J73" ca="1">100*OptionPrice('Trading Dashboard'!$K$7,'Trading Dashboard'!$AB$7,'Trading Dashboard'!$K$8,'Trading Dashboard'!$AB$8,'Trading Dashboard'!$AB$10,'Trading Dashboard'!$AB$9,H73,'Trading Dashboard'!$AB$11)</f>
        <v>250.64381522413512</v>
      </c>
      <c r="K73" s="69">
        <f t="shared" ca="1" si="5"/>
        <v>2.6494272210425513E-2</v>
      </c>
    </row>
    <row r="74" spans="2:11" x14ac:dyDescent="0.3">
      <c r="B74">
        <v>72</v>
      </c>
      <c r="C74" s="62">
        <f t="shared" si="6"/>
        <v>9.7199999999999826E-4</v>
      </c>
      <c r="D74" s="65" cm="1">
        <f t="array" ref="D74">100*OptionPrice('Trading Dashboard'!$K$7,'Trading Dashboard'!$AB$7,'Trading Dashboard'!$K$8,C74,'Trading Dashboard'!$AB$10,'Trading Dashboard'!$AB$9,'Trading Dashboard'!$K$9,'Trading Dashboard'!$AB$11)</f>
        <v>276.3892954177748</v>
      </c>
      <c r="E74" s="62">
        <f>'Trading Dashboard'!$AB$8</f>
        <v>4.4999999999999999E-4</v>
      </c>
      <c r="G74">
        <v>72</v>
      </c>
      <c r="H74" s="64">
        <f t="shared" ca="1" si="7"/>
        <v>44246.797230786899</v>
      </c>
      <c r="I74" s="63">
        <f t="shared" ca="1" si="4"/>
        <v>1.9075875862899775E-2</v>
      </c>
      <c r="J74" s="67" cm="1">
        <f t="array" aca="1" ref="J74" ca="1">100*OptionPrice('Trading Dashboard'!$K$7,'Trading Dashboard'!$AB$7,'Trading Dashboard'!$K$8,'Trading Dashboard'!$AB$8,'Trading Dashboard'!$AB$10,'Trading Dashboard'!$AB$9,H74,'Trading Dashboard'!$AB$11)</f>
        <v>252.06143988053057</v>
      </c>
      <c r="K74" s="69">
        <f t="shared" ca="1" si="5"/>
        <v>2.6494272210425513E-2</v>
      </c>
    </row>
    <row r="75" spans="2:11" x14ac:dyDescent="0.3">
      <c r="B75">
        <v>73</v>
      </c>
      <c r="C75" s="62">
        <f t="shared" si="6"/>
        <v>9.8549999999999831E-4</v>
      </c>
      <c r="D75" s="65" cm="1">
        <f t="array" ref="D75">100*OptionPrice('Trading Dashboard'!$K$7,'Trading Dashboard'!$AB$7,'Trading Dashboard'!$K$8,C75,'Trading Dashboard'!$AB$10,'Trading Dashboard'!$AB$9,'Trading Dashboard'!$K$9,'Trading Dashboard'!$AB$11)</f>
        <v>276.39176883601414</v>
      </c>
      <c r="E75" s="62">
        <f>'Trading Dashboard'!$AB$8</f>
        <v>4.4999999999999999E-4</v>
      </c>
      <c r="G75">
        <v>73</v>
      </c>
      <c r="H75" s="64">
        <f t="shared" ca="1" si="7"/>
        <v>44246.863996354026</v>
      </c>
      <c r="I75" s="63">
        <f t="shared" ca="1" si="4"/>
        <v>1.9340818589597124E-2</v>
      </c>
      <c r="J75" s="67" cm="1">
        <f t="array" aca="1" ref="J75" ca="1">100*OptionPrice('Trading Dashboard'!$K$7,'Trading Dashboard'!$AB$7,'Trading Dashboard'!$K$8,'Trading Dashboard'!$AB$8,'Trading Dashboard'!$AB$10,'Trading Dashboard'!$AB$9,H75,'Trading Dashboard'!$AB$11)</f>
        <v>253.47041047910545</v>
      </c>
      <c r="K75" s="69">
        <f t="shared" ca="1" si="5"/>
        <v>2.6494272210425513E-2</v>
      </c>
    </row>
    <row r="76" spans="2:11" x14ac:dyDescent="0.3">
      <c r="B76">
        <v>74</v>
      </c>
      <c r="C76" s="62">
        <f t="shared" si="6"/>
        <v>9.9899999999999837E-4</v>
      </c>
      <c r="D76" s="65" cm="1">
        <f t="array" ref="D76">100*OptionPrice('Trading Dashboard'!$K$7,'Trading Dashboard'!$AB$7,'Trading Dashboard'!$K$8,C76,'Trading Dashboard'!$AB$10,'Trading Dashboard'!$AB$9,'Trading Dashboard'!$K$9,'Trading Dashboard'!$AB$11)</f>
        <v>276.39424226761747</v>
      </c>
      <c r="E76" s="62">
        <f>'Trading Dashboard'!$AB$8</f>
        <v>4.4999999999999999E-4</v>
      </c>
      <c r="G76">
        <v>74</v>
      </c>
      <c r="H76" s="64">
        <f t="shared" ca="1" si="7"/>
        <v>44246.930761921154</v>
      </c>
      <c r="I76" s="63">
        <f t="shared" ca="1" si="4"/>
        <v>1.9605761316294473E-2</v>
      </c>
      <c r="J76" s="67" cm="1">
        <f t="array" aca="1" ref="J76" ca="1">100*OptionPrice('Trading Dashboard'!$K$7,'Trading Dashboard'!$AB$7,'Trading Dashboard'!$K$8,'Trading Dashboard'!$AB$8,'Trading Dashboard'!$AB$10,'Trading Dashboard'!$AB$9,H76,'Trading Dashboard'!$AB$11)</f>
        <v>254.87088232552878</v>
      </c>
      <c r="K76" s="69">
        <f t="shared" ca="1" si="5"/>
        <v>2.6494272210425513E-2</v>
      </c>
    </row>
    <row r="77" spans="2:11" x14ac:dyDescent="0.3">
      <c r="B77">
        <v>75</v>
      </c>
      <c r="C77" s="62">
        <f t="shared" si="6"/>
        <v>1.0124999999999984E-3</v>
      </c>
      <c r="D77" s="65" cm="1">
        <f t="array" ref="D77">100*OptionPrice('Trading Dashboard'!$K$7,'Trading Dashboard'!$AB$7,'Trading Dashboard'!$K$8,C77,'Trading Dashboard'!$AB$10,'Trading Dashboard'!$AB$9,'Trading Dashboard'!$K$9,'Trading Dashboard'!$AB$11)</f>
        <v>276.39671571256906</v>
      </c>
      <c r="E77" s="62">
        <f>'Trading Dashboard'!$AB$8</f>
        <v>4.4999999999999999E-4</v>
      </c>
      <c r="G77">
        <v>75</v>
      </c>
      <c r="H77" s="64">
        <f t="shared" ca="1" si="7"/>
        <v>44246.997527488282</v>
      </c>
      <c r="I77" s="63">
        <f t="shared" ca="1" si="4"/>
        <v>1.9870704042991818E-2</v>
      </c>
      <c r="J77" s="67" cm="1">
        <f t="array" aca="1" ref="J77" ca="1">100*OptionPrice('Trading Dashboard'!$K$7,'Trading Dashboard'!$AB$7,'Trading Dashboard'!$K$8,'Trading Dashboard'!$AB$8,'Trading Dashboard'!$AB$10,'Trading Dashboard'!$AB$9,H77,'Trading Dashboard'!$AB$11)</f>
        <v>256.2630061341228</v>
      </c>
      <c r="K77" s="69">
        <f t="shared" ca="1" si="5"/>
        <v>2.6494272210425513E-2</v>
      </c>
    </row>
    <row r="78" spans="2:11" x14ac:dyDescent="0.3">
      <c r="B78">
        <v>76</v>
      </c>
      <c r="C78" s="62">
        <f t="shared" si="6"/>
        <v>1.0259999999999985E-3</v>
      </c>
      <c r="D78" s="65" cm="1">
        <f t="array" ref="D78">100*OptionPrice('Trading Dashboard'!$K$7,'Trading Dashboard'!$AB$7,'Trading Dashboard'!$K$8,C78,'Trading Dashboard'!$AB$10,'Trading Dashboard'!$AB$9,'Trading Dashboard'!$K$9,'Trading Dashboard'!$AB$11)</f>
        <v>276.39918917089352</v>
      </c>
      <c r="E78" s="62">
        <f>'Trading Dashboard'!$AB$8</f>
        <v>4.4999999999999999E-4</v>
      </c>
      <c r="G78">
        <v>76</v>
      </c>
      <c r="H78" s="64">
        <f t="shared" ca="1" si="7"/>
        <v>44247.06429305541</v>
      </c>
      <c r="I78" s="63">
        <f t="shared" ca="1" si="4"/>
        <v>2.0135646769689167E-2</v>
      </c>
      <c r="J78" s="67" cm="1">
        <f t="array" aca="1" ref="J78" ca="1">100*OptionPrice('Trading Dashboard'!$K$7,'Trading Dashboard'!$AB$7,'Trading Dashboard'!$K$8,'Trading Dashboard'!$AB$8,'Trading Dashboard'!$AB$10,'Trading Dashboard'!$AB$9,H78,'Trading Dashboard'!$AB$11)</f>
        <v>257.64692821567468</v>
      </c>
      <c r="K78" s="69">
        <f t="shared" ca="1" si="5"/>
        <v>2.6494272210425513E-2</v>
      </c>
    </row>
    <row r="79" spans="2:11" x14ac:dyDescent="0.3">
      <c r="B79">
        <v>77</v>
      </c>
      <c r="C79" s="62">
        <f t="shared" si="6"/>
        <v>1.0394999999999985E-3</v>
      </c>
      <c r="D79" s="65" cm="1">
        <f t="array" ref="D79">100*OptionPrice('Trading Dashboard'!$K$7,'Trading Dashboard'!$AB$7,'Trading Dashboard'!$K$8,C79,'Trading Dashboard'!$AB$10,'Trading Dashboard'!$AB$9,'Trading Dashboard'!$K$9,'Trading Dashboard'!$AB$11)</f>
        <v>276.40166264257817</v>
      </c>
      <c r="E79" s="62">
        <f>'Trading Dashboard'!$AB$8</f>
        <v>4.4999999999999999E-4</v>
      </c>
      <c r="G79">
        <v>77</v>
      </c>
      <c r="H79" s="64">
        <f t="shared" ca="1" si="7"/>
        <v>44247.131058622537</v>
      </c>
      <c r="I79" s="63">
        <f t="shared" ca="1" si="4"/>
        <v>2.0400589496386515E-2</v>
      </c>
      <c r="J79" s="67" cm="1">
        <f t="array" aca="1" ref="J79" ca="1">100*OptionPrice('Trading Dashboard'!$K$7,'Trading Dashboard'!$AB$7,'Trading Dashboard'!$K$8,'Trading Dashboard'!$AB$8,'Trading Dashboard'!$AB$10,'Trading Dashboard'!$AB$9,H79,'Trading Dashboard'!$AB$11)</f>
        <v>259.022790655493</v>
      </c>
      <c r="K79" s="69">
        <f t="shared" ca="1" si="5"/>
        <v>2.6494272210425513E-2</v>
      </c>
    </row>
    <row r="80" spans="2:11" x14ac:dyDescent="0.3">
      <c r="B80">
        <v>78</v>
      </c>
      <c r="C80" s="62">
        <f t="shared" si="6"/>
        <v>1.0529999999999986E-3</v>
      </c>
      <c r="D80" s="65" cm="1">
        <f t="array" ref="D80">100*OptionPrice('Trading Dashboard'!$K$7,'Trading Dashboard'!$AB$7,'Trading Dashboard'!$K$8,C80,'Trading Dashboard'!$AB$10,'Trading Dashboard'!$AB$9,'Trading Dashboard'!$K$9,'Trading Dashboard'!$AB$11)</f>
        <v>276.40413612762211</v>
      </c>
      <c r="E80" s="62">
        <f>'Trading Dashboard'!$AB$8</f>
        <v>4.4999999999999999E-4</v>
      </c>
      <c r="G80">
        <v>78</v>
      </c>
      <c r="H80" s="64">
        <f t="shared" ca="1" si="7"/>
        <v>44247.197824189665</v>
      </c>
      <c r="I80" s="63">
        <f t="shared" ca="1" si="4"/>
        <v>2.0665532223083861E-2</v>
      </c>
      <c r="J80" s="67" cm="1">
        <f t="array" aca="1" ref="J80" ca="1">100*OptionPrice('Trading Dashboard'!$K$7,'Trading Dashboard'!$AB$7,'Trading Dashboard'!$K$8,'Trading Dashboard'!$AB$8,'Trading Dashboard'!$AB$10,'Trading Dashboard'!$AB$9,H80,'Trading Dashboard'!$AB$11)</f>
        <v>260.3907314823042</v>
      </c>
      <c r="K80" s="69">
        <f t="shared" ca="1" si="5"/>
        <v>2.6494272210425513E-2</v>
      </c>
    </row>
    <row r="81" spans="2:11" x14ac:dyDescent="0.3">
      <c r="B81">
        <v>79</v>
      </c>
      <c r="C81" s="62">
        <f t="shared" si="6"/>
        <v>1.0664999999999987E-3</v>
      </c>
      <c r="D81" s="65" cm="1">
        <f t="array" ref="D81">100*OptionPrice('Trading Dashboard'!$K$7,'Trading Dashboard'!$AB$7,'Trading Dashboard'!$K$8,C81,'Trading Dashboard'!$AB$10,'Trading Dashboard'!$AB$9,'Trading Dashboard'!$K$9,'Trading Dashboard'!$AB$11)</f>
        <v>276.40660962601794</v>
      </c>
      <c r="E81" s="62">
        <f>'Trading Dashboard'!$AB$8</f>
        <v>4.4999999999999999E-4</v>
      </c>
      <c r="G81">
        <v>79</v>
      </c>
      <c r="H81" s="64">
        <f t="shared" ca="1" si="7"/>
        <v>44247.264589756793</v>
      </c>
      <c r="I81" s="63">
        <f t="shared" ca="1" si="4"/>
        <v>2.093047494978121E-2</v>
      </c>
      <c r="J81" s="67" cm="1">
        <f t="array" aca="1" ref="J81" ca="1">100*OptionPrice('Trading Dashboard'!$K$7,'Trading Dashboard'!$AB$7,'Trading Dashboard'!$K$8,'Trading Dashboard'!$AB$8,'Trading Dashboard'!$AB$10,'Trading Dashboard'!$AB$9,H81,'Trading Dashboard'!$AB$11)</f>
        <v>261.75088482857632</v>
      </c>
      <c r="K81" s="69">
        <f t="shared" ca="1" si="5"/>
        <v>2.6494272210425513E-2</v>
      </c>
    </row>
    <row r="82" spans="2:11" x14ac:dyDescent="0.3">
      <c r="B82">
        <v>80</v>
      </c>
      <c r="C82" s="62">
        <f t="shared" si="6"/>
        <v>1.0799999999999987E-3</v>
      </c>
      <c r="D82" s="65" cm="1">
        <f t="array" ref="D82">100*OptionPrice('Trading Dashboard'!$K$7,'Trading Dashboard'!$AB$7,'Trading Dashboard'!$K$8,C82,'Trading Dashboard'!$AB$10,'Trading Dashboard'!$AB$9,'Trading Dashboard'!$K$9,'Trading Dashboard'!$AB$11)</f>
        <v>276.40908313778425</v>
      </c>
      <c r="E82" s="62">
        <f>'Trading Dashboard'!$AB$8</f>
        <v>4.4999999999999999E-4</v>
      </c>
      <c r="G82">
        <v>80</v>
      </c>
      <c r="H82" s="64">
        <f t="shared" ca="1" si="7"/>
        <v>44247.33135532392</v>
      </c>
      <c r="I82" s="63">
        <f t="shared" ca="1" si="4"/>
        <v>2.1195417676478558E-2</v>
      </c>
      <c r="J82" s="67" cm="1">
        <f t="array" aca="1" ref="J82" ca="1">100*OptionPrice('Trading Dashboard'!$K$7,'Trading Dashboard'!$AB$7,'Trading Dashboard'!$K$8,'Trading Dashboard'!$AB$8,'Trading Dashboard'!$AB$10,'Trading Dashboard'!$AB$9,H82,'Trading Dashboard'!$AB$11)</f>
        <v>263.10338108277875</v>
      </c>
      <c r="K82" s="69">
        <f t="shared" ca="1" si="5"/>
        <v>2.6494272210425513E-2</v>
      </c>
    </row>
    <row r="83" spans="2:11" x14ac:dyDescent="0.3">
      <c r="B83">
        <v>81</v>
      </c>
      <c r="C83" s="62">
        <f t="shared" si="6"/>
        <v>1.0934999999999988E-3</v>
      </c>
      <c r="D83" s="65" cm="1">
        <f t="array" ref="D83">100*OptionPrice('Trading Dashboard'!$K$7,'Trading Dashboard'!$AB$7,'Trading Dashboard'!$K$8,C83,'Trading Dashboard'!$AB$10,'Trading Dashboard'!$AB$9,'Trading Dashboard'!$K$9,'Trading Dashboard'!$AB$11)</f>
        <v>276.41155666291127</v>
      </c>
      <c r="E83" s="62">
        <f>'Trading Dashboard'!$AB$8</f>
        <v>4.4999999999999999E-4</v>
      </c>
      <c r="G83">
        <v>81</v>
      </c>
      <c r="H83" s="64">
        <f t="shared" ca="1" si="7"/>
        <v>44247.398120891048</v>
      </c>
      <c r="I83" s="63">
        <f t="shared" ca="1" si="4"/>
        <v>2.1460360403175907E-2</v>
      </c>
      <c r="J83" s="67" cm="1">
        <f t="array" aca="1" ref="J83" ca="1">100*OptionPrice('Trading Dashboard'!$K$7,'Trading Dashboard'!$AB$7,'Trading Dashboard'!$K$8,'Trading Dashboard'!$AB$8,'Trading Dashboard'!$AB$10,'Trading Dashboard'!$AB$9,H83,'Trading Dashboard'!$AB$11)</f>
        <v>264.44834703408452</v>
      </c>
      <c r="K83" s="69">
        <f t="shared" ca="1" si="5"/>
        <v>2.6494272210425513E-2</v>
      </c>
    </row>
    <row r="84" spans="2:11" x14ac:dyDescent="0.3">
      <c r="B84">
        <v>82</v>
      </c>
      <c r="C84" s="62">
        <f t="shared" si="6"/>
        <v>1.1069999999999988E-3</v>
      </c>
      <c r="D84" s="65" cm="1">
        <f t="array" ref="D84">100*OptionPrice('Trading Dashboard'!$K$7,'Trading Dashboard'!$AB$7,'Trading Dashboard'!$K$8,C84,'Trading Dashboard'!$AB$10,'Trading Dashboard'!$AB$9,'Trading Dashboard'!$K$9,'Trading Dashboard'!$AB$11)</f>
        <v>276.41403020139904</v>
      </c>
      <c r="E84" s="62">
        <f>'Trading Dashboard'!$AB$8</f>
        <v>4.4999999999999999E-4</v>
      </c>
      <c r="G84">
        <v>82</v>
      </c>
      <c r="H84" s="64">
        <f t="shared" ca="1" si="7"/>
        <v>44247.464886458176</v>
      </c>
      <c r="I84" s="63">
        <f t="shared" ca="1" si="4"/>
        <v>2.1725303129873252E-2</v>
      </c>
      <c r="J84" s="67" cm="1">
        <f t="array" aca="1" ref="J84" ca="1">100*OptionPrice('Trading Dashboard'!$K$7,'Trading Dashboard'!$AB$7,'Trading Dashboard'!$K$8,'Trading Dashboard'!$AB$8,'Trading Dashboard'!$AB$10,'Trading Dashboard'!$AB$9,H84,'Trading Dashboard'!$AB$11)</f>
        <v>265.78590600995045</v>
      </c>
      <c r="K84" s="69">
        <f t="shared" ca="1" si="5"/>
        <v>2.6494272210425513E-2</v>
      </c>
    </row>
    <row r="85" spans="2:11" x14ac:dyDescent="0.3">
      <c r="B85">
        <v>83</v>
      </c>
      <c r="C85" s="62">
        <f t="shared" si="6"/>
        <v>1.1204999999999989E-3</v>
      </c>
      <c r="D85" s="65" cm="1">
        <f t="array" ref="D85">100*OptionPrice('Trading Dashboard'!$K$7,'Trading Dashboard'!$AB$7,'Trading Dashboard'!$K$8,C85,'Trading Dashboard'!$AB$10,'Trading Dashboard'!$AB$9,'Trading Dashboard'!$K$9,'Trading Dashboard'!$AB$11)</f>
        <v>276.41650375323633</v>
      </c>
      <c r="E85" s="62">
        <f>'Trading Dashboard'!$AB$8</f>
        <v>4.4999999999999999E-4</v>
      </c>
      <c r="G85">
        <v>83</v>
      </c>
      <c r="H85" s="64">
        <f t="shared" ca="1" si="7"/>
        <v>44247.531652025304</v>
      </c>
      <c r="I85" s="63">
        <f t="shared" ca="1" si="4"/>
        <v>2.1990245856570601E-2</v>
      </c>
      <c r="J85" s="67" cm="1">
        <f t="array" aca="1" ref="J85" ca="1">100*OptionPrice('Trading Dashboard'!$K$7,'Trading Dashboard'!$AB$7,'Trading Dashboard'!$K$8,'Trading Dashboard'!$AB$8,'Trading Dashboard'!$AB$10,'Trading Dashboard'!$AB$9,H85,'Trading Dashboard'!$AB$11)</f>
        <v>267.11617800701475</v>
      </c>
      <c r="K85" s="69">
        <f t="shared" ca="1" si="5"/>
        <v>2.6494272210425513E-2</v>
      </c>
    </row>
    <row r="86" spans="2:11" x14ac:dyDescent="0.3">
      <c r="B86">
        <v>84</v>
      </c>
      <c r="C86" s="62">
        <f t="shared" si="6"/>
        <v>1.1339999999999989E-3</v>
      </c>
      <c r="D86" s="65" cm="1">
        <f t="array" ref="D86">100*OptionPrice('Trading Dashboard'!$K$7,'Trading Dashboard'!$AB$7,'Trading Dashboard'!$K$8,C86,'Trading Dashboard'!$AB$10,'Trading Dashboard'!$AB$9,'Trading Dashboard'!$K$9,'Trading Dashboard'!$AB$11)</f>
        <v>276.4189773184446</v>
      </c>
      <c r="E86" s="62">
        <f>'Trading Dashboard'!$AB$8</f>
        <v>4.4999999999999999E-4</v>
      </c>
      <c r="G86">
        <v>84</v>
      </c>
      <c r="H86" s="64">
        <f t="shared" ca="1" si="7"/>
        <v>44247.598417592431</v>
      </c>
      <c r="I86" s="63">
        <f t="shared" ca="1" si="4"/>
        <v>2.225518858326795E-2</v>
      </c>
      <c r="J86" s="67" cm="1">
        <f t="array" aca="1" ref="J86" ca="1">100*OptionPrice('Trading Dashboard'!$K$7,'Trading Dashboard'!$AB$7,'Trading Dashboard'!$K$8,'Trading Dashboard'!$AB$8,'Trading Dashboard'!$AB$10,'Trading Dashboard'!$AB$9,H86,'Trading Dashboard'!$AB$11)</f>
        <v>268.43927981570334</v>
      </c>
      <c r="K86" s="69">
        <f t="shared" ca="1" si="5"/>
        <v>2.6494272210425513E-2</v>
      </c>
    </row>
    <row r="87" spans="2:11" x14ac:dyDescent="0.3">
      <c r="B87">
        <v>85</v>
      </c>
      <c r="C87" s="62">
        <f t="shared" si="6"/>
        <v>1.147499999999999E-3</v>
      </c>
      <c r="D87" s="65" cm="1">
        <f t="array" ref="D87">100*OptionPrice('Trading Dashboard'!$K$7,'Trading Dashboard'!$AB$7,'Trading Dashboard'!$K$8,C87,'Trading Dashboard'!$AB$10,'Trading Dashboard'!$AB$9,'Trading Dashboard'!$K$9,'Trading Dashboard'!$AB$11)</f>
        <v>276.42145089701285</v>
      </c>
      <c r="E87" s="62">
        <f>'Trading Dashboard'!$AB$8</f>
        <v>4.4999999999999999E-4</v>
      </c>
      <c r="G87">
        <v>85</v>
      </c>
      <c r="H87" s="64">
        <f t="shared" ca="1" si="7"/>
        <v>44247.665183159559</v>
      </c>
      <c r="I87" s="63">
        <f t="shared" ca="1" si="4"/>
        <v>2.2520131309965295E-2</v>
      </c>
      <c r="J87" s="67" cm="1">
        <f t="array" aca="1" ref="J87" ca="1">100*OptionPrice('Trading Dashboard'!$K$7,'Trading Dashboard'!$AB$7,'Trading Dashboard'!$K$8,'Trading Dashboard'!$AB$8,'Trading Dashboard'!$AB$10,'Trading Dashboard'!$AB$9,H87,'Trading Dashboard'!$AB$11)</f>
        <v>269.75532513889311</v>
      </c>
      <c r="K87" s="69">
        <f t="shared" ca="1" si="5"/>
        <v>2.6494272210425513E-2</v>
      </c>
    </row>
    <row r="88" spans="2:11" x14ac:dyDescent="0.3">
      <c r="B88">
        <v>86</v>
      </c>
      <c r="C88" s="62">
        <f t="shared" si="6"/>
        <v>1.1609999999999991E-3</v>
      </c>
      <c r="D88" s="65" cm="1">
        <f t="array" ref="D88">100*OptionPrice('Trading Dashboard'!$K$7,'Trading Dashboard'!$AB$7,'Trading Dashboard'!$K$8,C88,'Trading Dashboard'!$AB$10,'Trading Dashboard'!$AB$9,'Trading Dashboard'!$K$9,'Trading Dashboard'!$AB$11)</f>
        <v>276.42392448894304</v>
      </c>
      <c r="E88" s="62">
        <f>'Trading Dashboard'!$AB$8</f>
        <v>4.4999999999999999E-4</v>
      </c>
      <c r="G88">
        <v>86</v>
      </c>
      <c r="H88" s="64">
        <f t="shared" ca="1" si="7"/>
        <v>44247.731948726687</v>
      </c>
      <c r="I88" s="63">
        <f t="shared" ca="1" si="4"/>
        <v>2.2785074036662644E-2</v>
      </c>
      <c r="J88" s="67" cm="1">
        <f t="array" aca="1" ref="J88" ca="1">100*OptionPrice('Trading Dashboard'!$K$7,'Trading Dashboard'!$AB$7,'Trading Dashboard'!$K$8,'Trading Dashboard'!$AB$8,'Trading Dashboard'!$AB$10,'Trading Dashboard'!$AB$9,H88,'Trading Dashboard'!$AB$11)</f>
        <v>271.06442470500292</v>
      </c>
      <c r="K88" s="69">
        <f t="shared" ca="1" si="5"/>
        <v>2.6494272210425513E-2</v>
      </c>
    </row>
    <row r="89" spans="2:11" x14ac:dyDescent="0.3">
      <c r="B89">
        <v>87</v>
      </c>
      <c r="C89" s="62">
        <f t="shared" si="6"/>
        <v>1.1744999999999991E-3</v>
      </c>
      <c r="D89" s="65" cm="1">
        <f t="array" ref="D89">100*OptionPrice('Trading Dashboard'!$K$7,'Trading Dashboard'!$AB$7,'Trading Dashboard'!$K$8,C89,'Trading Dashboard'!$AB$10,'Trading Dashboard'!$AB$9,'Trading Dashboard'!$K$9,'Trading Dashboard'!$AB$11)</f>
        <v>276.42639809422042</v>
      </c>
      <c r="E89" s="62">
        <f>'Trading Dashboard'!$AB$8</f>
        <v>4.4999999999999999E-4</v>
      </c>
      <c r="G89">
        <v>87</v>
      </c>
      <c r="H89" s="64">
        <f t="shared" ca="1" si="7"/>
        <v>44247.798714293815</v>
      </c>
      <c r="I89" s="63">
        <f t="shared" ca="1" si="4"/>
        <v>2.3050016763359993E-2</v>
      </c>
      <c r="J89" s="67" cm="1">
        <f t="array" aca="1" ref="J89" ca="1">100*OptionPrice('Trading Dashboard'!$K$7,'Trading Dashboard'!$AB$7,'Trading Dashboard'!$K$8,'Trading Dashboard'!$AB$8,'Trading Dashboard'!$AB$10,'Trading Dashboard'!$AB$9,H89,'Trading Dashboard'!$AB$11)</f>
        <v>272.36668637580556</v>
      </c>
      <c r="K89" s="69">
        <f t="shared" ca="1" si="5"/>
        <v>2.6494272210425513E-2</v>
      </c>
    </row>
    <row r="90" spans="2:11" x14ac:dyDescent="0.3">
      <c r="B90">
        <v>88</v>
      </c>
      <c r="C90" s="62">
        <f t="shared" si="6"/>
        <v>1.1879999999999992E-3</v>
      </c>
      <c r="D90" s="65" cm="1">
        <f t="array" ref="D90">100*OptionPrice('Trading Dashboard'!$K$7,'Trading Dashboard'!$AB$7,'Trading Dashboard'!$K$8,C90,'Trading Dashboard'!$AB$10,'Trading Dashboard'!$AB$9,'Trading Dashboard'!$K$9,'Trading Dashboard'!$AB$11)</f>
        <v>276.4288717128702</v>
      </c>
      <c r="E90" s="62">
        <f>'Trading Dashboard'!$AB$8</f>
        <v>4.4999999999999999E-4</v>
      </c>
      <c r="G90">
        <v>88</v>
      </c>
      <c r="H90" s="64">
        <f t="shared" ca="1" si="7"/>
        <v>44247.865479860942</v>
      </c>
      <c r="I90" s="63">
        <f t="shared" ca="1" si="4"/>
        <v>2.3314959490057338E-2</v>
      </c>
      <c r="J90" s="67" cm="1">
        <f t="array" aca="1" ref="J90" ca="1">100*OptionPrice('Trading Dashboard'!$K$7,'Trading Dashboard'!$AB$7,'Trading Dashboard'!$K$8,'Trading Dashboard'!$AB$8,'Trading Dashboard'!$AB$10,'Trading Dashboard'!$AB$9,H90,'Trading Dashboard'!$AB$11)</f>
        <v>273.66221524925834</v>
      </c>
      <c r="K90" s="69">
        <f t="shared" ca="1" si="5"/>
        <v>2.6494272210425513E-2</v>
      </c>
    </row>
    <row r="91" spans="2:11" x14ac:dyDescent="0.3">
      <c r="B91">
        <v>89</v>
      </c>
      <c r="C91" s="62">
        <f t="shared" si="6"/>
        <v>1.2014999999999992E-3</v>
      </c>
      <c r="D91" s="65" cm="1">
        <f t="array" ref="D91">100*OptionPrice('Trading Dashboard'!$K$7,'Trading Dashboard'!$AB$7,'Trading Dashboard'!$K$8,C91,'Trading Dashboard'!$AB$10,'Trading Dashboard'!$AB$9,'Trading Dashboard'!$K$9,'Trading Dashboard'!$AB$11)</f>
        <v>276.43134534488343</v>
      </c>
      <c r="E91" s="62">
        <f>'Trading Dashboard'!$AB$8</f>
        <v>4.4999999999999999E-4</v>
      </c>
      <c r="G91">
        <v>89</v>
      </c>
      <c r="H91" s="64">
        <f t="shared" ca="1" si="7"/>
        <v>44247.93224542807</v>
      </c>
      <c r="I91" s="63">
        <f t="shared" ca="1" si="4"/>
        <v>2.3579902216754687E-2</v>
      </c>
      <c r="J91" s="67" cm="1">
        <f t="array" aca="1" ref="J91" ca="1">100*OptionPrice('Trading Dashboard'!$K$7,'Trading Dashboard'!$AB$7,'Trading Dashboard'!$K$8,'Trading Dashboard'!$AB$8,'Trading Dashboard'!$AB$10,'Trading Dashboard'!$AB$9,H91,'Trading Dashboard'!$AB$11)</f>
        <v>274.95111375765714</v>
      </c>
      <c r="K91" s="69">
        <f t="shared" ca="1" si="5"/>
        <v>2.6494272210425513E-2</v>
      </c>
    </row>
    <row r="92" spans="2:11" x14ac:dyDescent="0.3">
      <c r="B92">
        <v>90</v>
      </c>
      <c r="C92" s="62">
        <f t="shared" si="6"/>
        <v>1.2149999999999993E-3</v>
      </c>
      <c r="D92" s="65" cm="1">
        <f t="array" ref="D92">100*OptionPrice('Trading Dashboard'!$K$7,'Trading Dashboard'!$AB$7,'Trading Dashboard'!$K$8,C92,'Trading Dashboard'!$AB$10,'Trading Dashboard'!$AB$9,'Trading Dashboard'!$K$9,'Trading Dashboard'!$AB$11)</f>
        <v>276.43381899025331</v>
      </c>
      <c r="E92" s="62">
        <f>'Trading Dashboard'!$AB$8</f>
        <v>4.4999999999999999E-4</v>
      </c>
      <c r="G92">
        <v>90</v>
      </c>
      <c r="H92" s="64">
        <f t="shared" ca="1" si="7"/>
        <v>44247.999010995198</v>
      </c>
      <c r="I92" s="63">
        <f t="shared" ca="1" si="4"/>
        <v>2.3844844943452036E-2</v>
      </c>
      <c r="J92" s="67" cm="1">
        <f t="array" aca="1" ref="J92" ca="1">100*OptionPrice('Trading Dashboard'!$K$7,'Trading Dashboard'!$AB$7,'Trading Dashboard'!$K$8,'Trading Dashboard'!$AB$8,'Trading Dashboard'!$AB$10,'Trading Dashboard'!$AB$9,H92,'Trading Dashboard'!$AB$11)</f>
        <v>276.23348176134431</v>
      </c>
      <c r="K92" s="69">
        <f t="shared" ca="1" si="5"/>
        <v>2.6494272210425513E-2</v>
      </c>
    </row>
    <row r="93" spans="2:11" x14ac:dyDescent="0.3">
      <c r="B93">
        <v>91</v>
      </c>
      <c r="C93" s="62">
        <f t="shared" si="6"/>
        <v>1.2284999999999993E-3</v>
      </c>
      <c r="D93" s="65" cm="1">
        <f t="array" ref="D93">100*OptionPrice('Trading Dashboard'!$K$7,'Trading Dashboard'!$AB$7,'Trading Dashboard'!$K$8,C93,'Trading Dashboard'!$AB$10,'Trading Dashboard'!$AB$9,'Trading Dashboard'!$K$9,'Trading Dashboard'!$AB$11)</f>
        <v>276.43629264897544</v>
      </c>
      <c r="E93" s="62">
        <f>'Trading Dashboard'!$AB$8</f>
        <v>4.4999999999999999E-4</v>
      </c>
      <c r="G93">
        <v>91</v>
      </c>
      <c r="H93" s="64">
        <f t="shared" ca="1" si="7"/>
        <v>44248.065776562325</v>
      </c>
      <c r="I93" s="63">
        <f t="shared" ca="1" si="4"/>
        <v>2.4109787670149384E-2</v>
      </c>
      <c r="J93" s="67" cm="1">
        <f t="array" aca="1" ref="J93" ca="1">100*OptionPrice('Trading Dashboard'!$K$7,'Trading Dashboard'!$AB$7,'Trading Dashboard'!$K$8,'Trading Dashboard'!$AB$8,'Trading Dashboard'!$AB$10,'Trading Dashboard'!$AB$9,H93,'Trading Dashboard'!$AB$11)</f>
        <v>277.50941663821982</v>
      </c>
      <c r="K93" s="69">
        <f t="shared" ca="1" si="5"/>
        <v>2.6494272210425513E-2</v>
      </c>
    </row>
    <row r="94" spans="2:11" x14ac:dyDescent="0.3">
      <c r="B94">
        <v>92</v>
      </c>
      <c r="C94" s="62">
        <f t="shared" si="6"/>
        <v>1.2419999999999994E-3</v>
      </c>
      <c r="D94" s="65" cm="1">
        <f t="array" ref="D94">100*OptionPrice('Trading Dashboard'!$K$7,'Trading Dashboard'!$AB$7,'Trading Dashboard'!$K$8,C94,'Trading Dashboard'!$AB$10,'Trading Dashboard'!$AB$9,'Trading Dashboard'!$K$9,'Trading Dashboard'!$AB$11)</f>
        <v>276.43876632106532</v>
      </c>
      <c r="E94" s="62">
        <f>'Trading Dashboard'!$AB$8</f>
        <v>4.4999999999999999E-4</v>
      </c>
      <c r="G94">
        <v>92</v>
      </c>
      <c r="H94" s="64">
        <f t="shared" ca="1" si="7"/>
        <v>44248.132542129453</v>
      </c>
      <c r="I94" s="63">
        <f t="shared" ca="1" si="4"/>
        <v>2.437473039684673E-2</v>
      </c>
      <c r="J94" s="67" cm="1">
        <f t="array" aca="1" ref="J94" ca="1">100*OptionPrice('Trading Dashboard'!$K$7,'Trading Dashboard'!$AB$7,'Trading Dashboard'!$K$8,'Trading Dashboard'!$AB$8,'Trading Dashboard'!$AB$10,'Trading Dashboard'!$AB$9,H94,'Trading Dashboard'!$AB$11)</f>
        <v>278.77901336929477</v>
      </c>
      <c r="K94" s="69">
        <f t="shared" ca="1" si="5"/>
        <v>2.6494272210425513E-2</v>
      </c>
    </row>
    <row r="95" spans="2:11" x14ac:dyDescent="0.3">
      <c r="B95">
        <v>93</v>
      </c>
      <c r="C95" s="62">
        <f t="shared" si="6"/>
        <v>1.2554999999999995E-3</v>
      </c>
      <c r="D95" s="65" cm="1">
        <f t="array" ref="D95">100*OptionPrice('Trading Dashboard'!$K$7,'Trading Dashboard'!$AB$7,'Trading Dashboard'!$K$8,C95,'Trading Dashboard'!$AB$10,'Trading Dashboard'!$AB$9,'Trading Dashboard'!$K$9,'Trading Dashboard'!$AB$11)</f>
        <v>276.44124000651777</v>
      </c>
      <c r="E95" s="62">
        <f>'Trading Dashboard'!$AB$8</f>
        <v>4.4999999999999999E-4</v>
      </c>
      <c r="G95">
        <v>93</v>
      </c>
      <c r="H95" s="64">
        <f t="shared" ca="1" si="7"/>
        <v>44248.199307696581</v>
      </c>
      <c r="I95" s="63">
        <f t="shared" ca="1" si="4"/>
        <v>2.4639673123544079E-2</v>
      </c>
      <c r="J95" s="67" cm="1">
        <f t="array" aca="1" ref="J95" ca="1">100*OptionPrice('Trading Dashboard'!$K$7,'Trading Dashboard'!$AB$7,'Trading Dashboard'!$K$8,'Trading Dashboard'!$AB$8,'Trading Dashboard'!$AB$10,'Trading Dashboard'!$AB$9,H95,'Trading Dashboard'!$AB$11)</f>
        <v>280.04236462048237</v>
      </c>
      <c r="K95" s="69">
        <f t="shared" ca="1" si="5"/>
        <v>2.6494272210425513E-2</v>
      </c>
    </row>
    <row r="96" spans="2:11" x14ac:dyDescent="0.3">
      <c r="B96">
        <v>94</v>
      </c>
      <c r="C96" s="62">
        <f t="shared" si="6"/>
        <v>1.2689999999999995E-3</v>
      </c>
      <c r="D96" s="65" cm="1">
        <f t="array" ref="D96">100*OptionPrice('Trading Dashboard'!$K$7,'Trading Dashboard'!$AB$7,'Trading Dashboard'!$K$8,C96,'Trading Dashboard'!$AB$10,'Trading Dashboard'!$AB$9,'Trading Dashboard'!$K$9,'Trading Dashboard'!$AB$11)</f>
        <v>276.44371370533128</v>
      </c>
      <c r="E96" s="62">
        <f>'Trading Dashboard'!$AB$8</f>
        <v>4.4999999999999999E-4</v>
      </c>
      <c r="G96">
        <v>94</v>
      </c>
      <c r="H96" s="64">
        <f t="shared" ca="1" si="7"/>
        <v>44248.266073263709</v>
      </c>
      <c r="I96" s="63">
        <f t="shared" ca="1" si="4"/>
        <v>2.4904615850241427E-2</v>
      </c>
      <c r="J96" s="67" cm="1">
        <f t="array" aca="1" ref="J96" ca="1">100*OptionPrice('Trading Dashboard'!$K$7,'Trading Dashboard'!$AB$7,'Trading Dashboard'!$K$8,'Trading Dashboard'!$AB$8,'Trading Dashboard'!$AB$10,'Trading Dashboard'!$AB$9,H96,'Trading Dashboard'!$AB$11)</f>
        <v>281.29956082084175</v>
      </c>
      <c r="K96" s="69">
        <f t="shared" ca="1" si="5"/>
        <v>2.6494272210425513E-2</v>
      </c>
    </row>
    <row r="97" spans="2:11" x14ac:dyDescent="0.3">
      <c r="B97">
        <v>95</v>
      </c>
      <c r="C97" s="62">
        <f t="shared" si="6"/>
        <v>1.2824999999999996E-3</v>
      </c>
      <c r="D97" s="65" cm="1">
        <f t="array" ref="D97">100*OptionPrice('Trading Dashboard'!$K$7,'Trading Dashboard'!$AB$7,'Trading Dashboard'!$K$8,C97,'Trading Dashboard'!$AB$10,'Trading Dashboard'!$AB$9,'Trading Dashboard'!$K$9,'Trading Dashboard'!$AB$11)</f>
        <v>276.44618741749315</v>
      </c>
      <c r="E97" s="62">
        <f>'Trading Dashboard'!$AB$8</f>
        <v>4.4999999999999999E-4</v>
      </c>
      <c r="G97">
        <v>95</v>
      </c>
      <c r="H97" s="64">
        <f t="shared" ca="1" si="7"/>
        <v>44248.332838830836</v>
      </c>
      <c r="I97" s="63">
        <f t="shared" ca="1" si="4"/>
        <v>2.5169558576938773E-2</v>
      </c>
      <c r="J97" s="67" cm="1">
        <f t="array" aca="1" ref="J97" ca="1">100*OptionPrice('Trading Dashboard'!$K$7,'Trading Dashboard'!$AB$7,'Trading Dashboard'!$K$8,'Trading Dashboard'!$AB$8,'Trading Dashboard'!$AB$10,'Trading Dashboard'!$AB$9,H97,'Trading Dashboard'!$AB$11)</f>
        <v>282.55069023745187</v>
      </c>
      <c r="K97" s="69">
        <f t="shared" ca="1" si="5"/>
        <v>2.6494272210425513E-2</v>
      </c>
    </row>
    <row r="98" spans="2:11" x14ac:dyDescent="0.3">
      <c r="B98">
        <v>96</v>
      </c>
      <c r="C98" s="62">
        <f t="shared" si="6"/>
        <v>1.2959999999999996E-3</v>
      </c>
      <c r="D98" s="65" cm="1">
        <f t="array" ref="D98">100*OptionPrice('Trading Dashboard'!$K$7,'Trading Dashboard'!$AB$7,'Trading Dashboard'!$K$8,C98,'Trading Dashboard'!$AB$10,'Trading Dashboard'!$AB$9,'Trading Dashboard'!$K$9,'Trading Dashboard'!$AB$11)</f>
        <v>276.4486611430263</v>
      </c>
      <c r="E98" s="62">
        <f>'Trading Dashboard'!$AB$8</f>
        <v>4.4999999999999999E-4</v>
      </c>
      <c r="G98">
        <v>96</v>
      </c>
      <c r="H98" s="64">
        <f t="shared" ca="1" si="7"/>
        <v>44248.399604397964</v>
      </c>
      <c r="I98" s="63">
        <f t="shared" ca="1" si="4"/>
        <v>2.5434501303636121E-2</v>
      </c>
      <c r="J98" s="67" cm="1">
        <f t="array" aca="1" ref="J98" ca="1">100*OptionPrice('Trading Dashboard'!$K$7,'Trading Dashboard'!$AB$7,'Trading Dashboard'!$K$8,'Trading Dashboard'!$AB$8,'Trading Dashboard'!$AB$10,'Trading Dashboard'!$AB$9,H98,'Trading Dashboard'!$AB$11)</f>
        <v>283.79583904709489</v>
      </c>
      <c r="K98" s="69">
        <f t="shared" ca="1" si="5"/>
        <v>2.6494272210425513E-2</v>
      </c>
    </row>
    <row r="99" spans="2:11" x14ac:dyDescent="0.3">
      <c r="B99">
        <v>97</v>
      </c>
      <c r="C99" s="62">
        <f t="shared" si="6"/>
        <v>1.3094999999999997E-3</v>
      </c>
      <c r="D99" s="65" cm="1">
        <f t="array" ref="D99">100*OptionPrice('Trading Dashboard'!$K$7,'Trading Dashboard'!$AB$7,'Trading Dashboard'!$K$8,C99,'Trading Dashboard'!$AB$10,'Trading Dashboard'!$AB$9,'Trading Dashboard'!$K$9,'Trading Dashboard'!$AB$11)</f>
        <v>276.45113488192118</v>
      </c>
      <c r="E99" s="62">
        <f>'Trading Dashboard'!$AB$8</f>
        <v>4.4999999999999999E-4</v>
      </c>
      <c r="G99">
        <v>97</v>
      </c>
      <c r="H99" s="64">
        <f t="shared" ca="1" si="7"/>
        <v>44248.466369965092</v>
      </c>
      <c r="I99" s="63">
        <f t="shared" ca="1" si="4"/>
        <v>2.569944403033347E-2</v>
      </c>
      <c r="J99" s="67" cm="1">
        <f t="array" aca="1" ref="J99" ca="1">100*OptionPrice('Trading Dashboard'!$K$7,'Trading Dashboard'!$AB$7,'Trading Dashboard'!$K$8,'Trading Dashboard'!$AB$8,'Trading Dashboard'!$AB$10,'Trading Dashboard'!$AB$9,H99,'Trading Dashboard'!$AB$11)</f>
        <v>285.03509140490013</v>
      </c>
      <c r="K99" s="69">
        <f t="shared" ca="1" si="5"/>
        <v>2.6494272210425513E-2</v>
      </c>
    </row>
    <row r="100" spans="2:11" x14ac:dyDescent="0.3">
      <c r="B100">
        <v>98</v>
      </c>
      <c r="C100" s="62">
        <f t="shared" si="6"/>
        <v>1.3229999999999997E-3</v>
      </c>
      <c r="D100" s="65" cm="1">
        <f t="array" ref="D100">100*OptionPrice('Trading Dashboard'!$K$7,'Trading Dashboard'!$AB$7,'Trading Dashboard'!$K$8,C100,'Trading Dashboard'!$AB$10,'Trading Dashboard'!$AB$9,'Trading Dashboard'!$K$9,'Trading Dashboard'!$AB$11)</f>
        <v>276.45360863417397</v>
      </c>
      <c r="E100" s="62">
        <f>'Trading Dashboard'!$AB$8</f>
        <v>4.4999999999999999E-4</v>
      </c>
      <c r="G100">
        <v>98</v>
      </c>
      <c r="H100" s="64">
        <f t="shared" ca="1" si="7"/>
        <v>44248.53313553222</v>
      </c>
      <c r="I100" s="63">
        <f t="shared" ca="1" si="4"/>
        <v>2.5964386757030816E-2</v>
      </c>
      <c r="J100" s="67" cm="1">
        <f t="array" aca="1" ref="J100" ca="1">100*OptionPrice('Trading Dashboard'!$K$7,'Trading Dashboard'!$AB$7,'Trading Dashboard'!$K$8,'Trading Dashboard'!$AB$8,'Trading Dashboard'!$AB$10,'Trading Dashboard'!$AB$9,H100,'Trading Dashboard'!$AB$11)</f>
        <v>286.26852951014212</v>
      </c>
      <c r="K100" s="69">
        <f t="shared" ca="1" si="5"/>
        <v>2.6494272210425513E-2</v>
      </c>
    </row>
    <row r="101" spans="2:11" x14ac:dyDescent="0.3">
      <c r="B101">
        <v>99</v>
      </c>
      <c r="C101" s="62">
        <f t="shared" si="6"/>
        <v>1.3364999999999998E-3</v>
      </c>
      <c r="D101" s="65" cm="1">
        <f t="array" ref="D101">100*OptionPrice('Trading Dashboard'!$K$7,'Trading Dashboard'!$AB$7,'Trading Dashboard'!$K$8,C101,'Trading Dashboard'!$AB$10,'Trading Dashboard'!$AB$9,'Trading Dashboard'!$K$9,'Trading Dashboard'!$AB$11)</f>
        <v>276.45608239977867</v>
      </c>
      <c r="E101" s="62">
        <f>'Trading Dashboard'!$AB$8</f>
        <v>4.4999999999999999E-4</v>
      </c>
      <c r="G101">
        <v>99</v>
      </c>
      <c r="H101" s="64">
        <f t="shared" ca="1" si="7"/>
        <v>44248.599901099347</v>
      </c>
      <c r="I101" s="63">
        <f t="shared" ca="1" si="4"/>
        <v>2.6229329483728164E-2</v>
      </c>
      <c r="J101" s="67" cm="1">
        <f t="array" aca="1" ref="J101" ca="1">100*OptionPrice('Trading Dashboard'!$K$7,'Trading Dashboard'!$AB$7,'Trading Dashboard'!$K$8,'Trading Dashboard'!$AB$8,'Trading Dashboard'!$AB$10,'Trading Dashboard'!$AB$9,H101,'Trading Dashboard'!$AB$11)</f>
        <v>287.49623366929382</v>
      </c>
      <c r="K101" s="69">
        <f t="shared" ca="1" si="5"/>
        <v>2.6494272210425513E-2</v>
      </c>
    </row>
    <row r="102" spans="2:11" x14ac:dyDescent="0.3">
      <c r="B102">
        <v>100</v>
      </c>
      <c r="C102" s="62">
        <f t="shared" ref="C102" si="8">C101+$A$8</f>
        <v>1.3499999999999999E-3</v>
      </c>
      <c r="D102" s="65" cm="1">
        <f t="array" ref="D102">100*OptionPrice('Trading Dashboard'!$K$7,'Trading Dashboard'!$AB$7,'Trading Dashboard'!$K$8,C102,'Trading Dashboard'!$AB$10,'Trading Dashboard'!$AB$9,'Trading Dashboard'!$K$9,'Trading Dashboard'!$AB$11)</f>
        <v>276.45855617875384</v>
      </c>
      <c r="E102" s="62">
        <f>'Trading Dashboard'!$AB$8</f>
        <v>4.4999999999999999E-4</v>
      </c>
      <c r="G102">
        <v>100</v>
      </c>
      <c r="H102" s="64">
        <f t="shared" ref="H102" ca="1" si="9">H101+$F$8</f>
        <v>44248.666666666475</v>
      </c>
      <c r="I102" s="63">
        <f t="shared" ca="1" si="4"/>
        <v>2.6494272210425513E-2</v>
      </c>
      <c r="J102" s="67" cm="1">
        <f t="array" aca="1" ref="J102" ca="1">100*OptionPrice('Trading Dashboard'!$K$7,'Trading Dashboard'!$AB$7,'Trading Dashboard'!$K$8,'Trading Dashboard'!$AB$8,'Trading Dashboard'!$AB$10,'Trading Dashboard'!$AB$9,H102,'Trading Dashboard'!$AB$11)</f>
        <v>288.71828235648252</v>
      </c>
      <c r="K102" s="69">
        <f t="shared" ca="1" si="5"/>
        <v>2.6494272210425513E-2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00EDD1-7B64-4833-B196-3F56BC6809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Trading Dashboard</vt:lpstr>
      <vt:lpstr>Symbol (ref)</vt:lpstr>
      <vt:lpstr>YF Summary A</vt:lpstr>
      <vt:lpstr>YF Summary B</vt:lpstr>
      <vt:lpstr>YF Spot</vt:lpstr>
      <vt:lpstr>EWMA</vt:lpstr>
      <vt:lpstr>YF Calls</vt:lpstr>
      <vt:lpstr>YF Puts</vt:lpstr>
      <vt:lpstr>Utility</vt:lpstr>
      <vt:lpstr>T-Bills 3M</vt:lpstr>
      <vt:lpstr>OptionsPlots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Nicolás Cuesta Quintero</dc:creator>
  <cp:lastModifiedBy>Nicolás Cuesta Quintero</cp:lastModifiedBy>
  <dcterms:created xsi:type="dcterms:W3CDTF">2021-02-13T15:52:03Z</dcterms:created>
  <dcterms:modified xsi:type="dcterms:W3CDTF">2021-02-15T04:45:45Z</dcterms:modified>
</cp:coreProperties>
</file>