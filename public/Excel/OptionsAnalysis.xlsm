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4e222cd4dcbae97/Documentos/NCQ_Documentos/Curriculum/personal_web/static/Excel/"/>
    </mc:Choice>
  </mc:AlternateContent>
  <xr:revisionPtr revIDLastSave="2439" documentId="8_{21362F51-8DB3-4FE2-A115-581AA7FDF5BC}" xr6:coauthVersionLast="46" xr6:coauthVersionMax="46" xr10:uidLastSave="{9C7DA038-2EA7-424F-A4A0-FBA180FADFB7}"/>
  <bookViews>
    <workbookView xWindow="-108" yWindow="-108" windowWidth="23256" windowHeight="12576" tabRatio="599" xr2:uid="{1C1E2BA1-646A-4B5C-8444-937EBA6EEA43}"/>
  </bookViews>
  <sheets>
    <sheet name="Trading Dashboard" sheetId="1" r:id="rId1"/>
    <sheet name="Symbol (ref)" sheetId="13" state="hidden" r:id="rId2"/>
    <sheet name="YF Summary A" sheetId="11" state="hidden" r:id="rId3"/>
    <sheet name="YF Summary B" sheetId="12" state="hidden" r:id="rId4"/>
    <sheet name="YF Spot" sheetId="8" state="hidden" r:id="rId5"/>
    <sheet name="EWMA" sheetId="14" state="hidden" r:id="rId6"/>
    <sheet name="YF Calls" sheetId="9" state="hidden" r:id="rId7"/>
    <sheet name="YF Puts" sheetId="10" state="hidden" r:id="rId8"/>
    <sheet name="Utility" sheetId="15" state="hidden" r:id="rId9"/>
    <sheet name="T-Bills 3M" sheetId="17" state="hidden" r:id="rId10"/>
    <sheet name="OptionsPlots" sheetId="18" state="hidden" r:id="rId11"/>
  </sheets>
  <functionGroups builtInGroupCount="19"/>
  <definedNames>
    <definedName name="ExternalData_1" localSheetId="1" hidden="1">'Symbol (ref)'!$A$1:$A$2</definedName>
    <definedName name="ExternalData_1" localSheetId="9" hidden="1">'T-Bills 3M'!$A$1:$E$6</definedName>
    <definedName name="ExternalData_1" localSheetId="4" hidden="1">'YF Spot'!$A$1:$G$99</definedName>
    <definedName name="ExternalData_2" localSheetId="6" hidden="1">'YF Calls'!$A$1:$K$9</definedName>
    <definedName name="ExternalData_2" localSheetId="2" hidden="1">'YF Summary A'!$A$1:$B$9</definedName>
    <definedName name="ExternalData_3" localSheetId="7" hidden="1">'YF Puts'!$A$1:$K$8</definedName>
    <definedName name="ExternalData_3" localSheetId="3" hidden="1">'YF Summary B'!$A$1:$B$9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8" l="1"/>
  <c r="F2" i="18"/>
  <c r="H2" i="18" s="1"/>
  <c r="C2" i="18"/>
  <c r="I2" i="18" l="1"/>
  <c r="Y36" i="1"/>
  <c r="AA13" i="1"/>
  <c r="AB13" i="1" a="1"/>
  <c r="F8" i="18" l="1"/>
  <c r="AB13" i="1"/>
  <c r="BP16" i="1"/>
  <c r="BP17" i="1"/>
  <c r="BP18" i="1"/>
  <c r="BP19" i="1"/>
  <c r="BP15" i="1"/>
  <c r="BP9" i="1"/>
  <c r="BP10" i="1"/>
  <c r="BP11" i="1"/>
  <c r="BP12" i="1"/>
  <c r="BP8" i="1"/>
  <c r="BM16" i="1"/>
  <c r="BM17" i="1"/>
  <c r="BM18" i="1"/>
  <c r="BM19" i="1"/>
  <c r="BJ16" i="1"/>
  <c r="BJ17" i="1"/>
  <c r="BJ18" i="1"/>
  <c r="BJ19" i="1"/>
  <c r="BG16" i="1"/>
  <c r="BG17" i="1"/>
  <c r="BG18" i="1"/>
  <c r="BG19" i="1"/>
  <c r="AX16" i="1"/>
  <c r="AX17" i="1"/>
  <c r="AX18" i="1"/>
  <c r="AX19" i="1"/>
  <c r="AN16" i="1"/>
  <c r="AN17" i="1"/>
  <c r="AN18" i="1"/>
  <c r="AN19" i="1"/>
  <c r="AX15" i="1"/>
  <c r="BM15" i="1"/>
  <c r="BJ15" i="1"/>
  <c r="BG15" i="1"/>
  <c r="AN15" i="1"/>
  <c r="BM9" i="1"/>
  <c r="BM10" i="1"/>
  <c r="BM11" i="1"/>
  <c r="BM12" i="1"/>
  <c r="BJ9" i="1"/>
  <c r="BJ10" i="1"/>
  <c r="BJ11" i="1"/>
  <c r="BJ12" i="1"/>
  <c r="BG9" i="1"/>
  <c r="BG10" i="1"/>
  <c r="BG11" i="1"/>
  <c r="BG12" i="1"/>
  <c r="BM8" i="1"/>
  <c r="BJ8" i="1"/>
  <c r="BG8" i="1"/>
  <c r="AX9" i="1"/>
  <c r="AX10" i="1"/>
  <c r="AX11" i="1"/>
  <c r="AX12" i="1"/>
  <c r="AX8" i="1"/>
  <c r="AN9" i="1"/>
  <c r="AN10" i="1"/>
  <c r="AN11" i="1"/>
  <c r="AN12" i="1"/>
  <c r="AN8" i="1"/>
  <c r="B9" i="15"/>
  <c r="B2" i="15"/>
  <c r="B4" i="15"/>
  <c r="B3" i="15"/>
  <c r="G101" i="14"/>
  <c r="H101" i="14"/>
  <c r="G102" i="14"/>
  <c r="H102" i="14"/>
  <c r="G103" i="14"/>
  <c r="H103" i="14"/>
  <c r="G104" i="14"/>
  <c r="H104" i="14"/>
  <c r="G105" i="14"/>
  <c r="H105" i="14"/>
  <c r="G106" i="14"/>
  <c r="H106" i="14"/>
  <c r="G107" i="14"/>
  <c r="H107" i="14"/>
  <c r="G108" i="14"/>
  <c r="H108" i="14"/>
  <c r="G109" i="14"/>
  <c r="H109" i="14"/>
  <c r="G110" i="14"/>
  <c r="H110" i="14"/>
  <c r="G111" i="14"/>
  <c r="H111" i="14"/>
  <c r="G112" i="14"/>
  <c r="H112" i="14"/>
  <c r="G113" i="14"/>
  <c r="H113" i="14"/>
  <c r="G114" i="14"/>
  <c r="H114" i="14"/>
  <c r="G115" i="14"/>
  <c r="H115" i="14"/>
  <c r="G116" i="14"/>
  <c r="H116" i="14"/>
  <c r="G117" i="14"/>
  <c r="H117" i="14"/>
  <c r="G118" i="14"/>
  <c r="H118" i="14"/>
  <c r="G119" i="14"/>
  <c r="H119" i="14"/>
  <c r="G120" i="14"/>
  <c r="H120" i="14"/>
  <c r="G121" i="14"/>
  <c r="H121" i="14"/>
  <c r="G122" i="14"/>
  <c r="H122" i="14"/>
  <c r="G123" i="14"/>
  <c r="H123" i="14"/>
  <c r="G124" i="14"/>
  <c r="H124" i="14"/>
  <c r="G125" i="14"/>
  <c r="H125" i="14"/>
  <c r="G126" i="14"/>
  <c r="H126" i="14"/>
  <c r="G127" i="14"/>
  <c r="H127" i="14"/>
  <c r="G128" i="14"/>
  <c r="H128" i="14"/>
  <c r="G129" i="14"/>
  <c r="H129" i="14"/>
  <c r="G130" i="14"/>
  <c r="H130" i="14"/>
  <c r="G131" i="14"/>
  <c r="H131" i="14"/>
  <c r="G132" i="14"/>
  <c r="H132" i="14"/>
  <c r="G133" i="14"/>
  <c r="H133" i="14"/>
  <c r="G134" i="14"/>
  <c r="H134" i="14"/>
  <c r="G135" i="14"/>
  <c r="H135" i="14"/>
  <c r="G136" i="14"/>
  <c r="H136" i="14"/>
  <c r="G137" i="14"/>
  <c r="H137" i="14"/>
  <c r="G138" i="14"/>
  <c r="H138" i="14"/>
  <c r="G139" i="14"/>
  <c r="H139" i="14"/>
  <c r="G140" i="14"/>
  <c r="H140" i="14"/>
  <c r="G141" i="14"/>
  <c r="H141" i="14"/>
  <c r="G142" i="14"/>
  <c r="H142" i="14"/>
  <c r="G143" i="14"/>
  <c r="H143" i="14"/>
  <c r="G144" i="14"/>
  <c r="H144" i="14"/>
  <c r="G145" i="14"/>
  <c r="H145" i="14"/>
  <c r="G146" i="14"/>
  <c r="H146" i="14"/>
  <c r="G147" i="14"/>
  <c r="H147" i="14"/>
  <c r="G148" i="14"/>
  <c r="H148" i="14"/>
  <c r="G149" i="14"/>
  <c r="H149" i="14"/>
  <c r="G150" i="14"/>
  <c r="H150" i="14"/>
  <c r="G151" i="14"/>
  <c r="H151" i="14"/>
  <c r="G152" i="14"/>
  <c r="H152" i="14"/>
  <c r="G153" i="14"/>
  <c r="H153" i="14"/>
  <c r="G154" i="14"/>
  <c r="H154" i="14"/>
  <c r="G155" i="14"/>
  <c r="H155" i="14"/>
  <c r="G156" i="14"/>
  <c r="H156" i="14"/>
  <c r="G157" i="14"/>
  <c r="H157" i="14"/>
  <c r="G158" i="14"/>
  <c r="H158" i="14"/>
  <c r="G159" i="14"/>
  <c r="H159" i="14"/>
  <c r="G160" i="14"/>
  <c r="H160" i="14"/>
  <c r="G161" i="14"/>
  <c r="H161" i="14"/>
  <c r="G162" i="14"/>
  <c r="H162" i="14"/>
  <c r="G163" i="14"/>
  <c r="H163" i="14"/>
  <c r="G164" i="14"/>
  <c r="H164" i="14"/>
  <c r="G165" i="14"/>
  <c r="H165" i="14"/>
  <c r="G166" i="14"/>
  <c r="H166" i="14"/>
  <c r="G167" i="14"/>
  <c r="H167" i="14"/>
  <c r="G168" i="14"/>
  <c r="H168" i="14"/>
  <c r="G169" i="14"/>
  <c r="H169" i="14"/>
  <c r="G170" i="14"/>
  <c r="H170" i="14"/>
  <c r="G171" i="14"/>
  <c r="H171" i="14"/>
  <c r="G172" i="14"/>
  <c r="H172" i="14"/>
  <c r="G173" i="14"/>
  <c r="H173" i="14"/>
  <c r="G174" i="14"/>
  <c r="H174" i="14"/>
  <c r="G175" i="14"/>
  <c r="H175" i="14"/>
  <c r="G176" i="14"/>
  <c r="H176" i="14"/>
  <c r="G177" i="14"/>
  <c r="H177" i="14"/>
  <c r="G178" i="14"/>
  <c r="H178" i="14"/>
  <c r="G179" i="14"/>
  <c r="H179" i="14"/>
  <c r="G180" i="14"/>
  <c r="H180" i="14"/>
  <c r="G181" i="14"/>
  <c r="H181" i="14"/>
  <c r="G182" i="14"/>
  <c r="H182" i="14"/>
  <c r="G183" i="14"/>
  <c r="H183" i="14"/>
  <c r="G184" i="14"/>
  <c r="H184" i="14"/>
  <c r="G185" i="14"/>
  <c r="H185" i="14"/>
  <c r="G186" i="14"/>
  <c r="H186" i="14"/>
  <c r="G187" i="14"/>
  <c r="H187" i="14"/>
  <c r="G188" i="14"/>
  <c r="H188" i="14"/>
  <c r="G189" i="14"/>
  <c r="H189" i="14"/>
  <c r="G190" i="14"/>
  <c r="H190" i="14"/>
  <c r="G191" i="14"/>
  <c r="H191" i="14"/>
  <c r="G192" i="14"/>
  <c r="H192" i="14"/>
  <c r="G193" i="14"/>
  <c r="H193" i="14"/>
  <c r="G194" i="14"/>
  <c r="H194" i="14"/>
  <c r="G195" i="14"/>
  <c r="H195" i="14"/>
  <c r="G196" i="14"/>
  <c r="H196" i="14"/>
  <c r="G197" i="14"/>
  <c r="H197" i="14"/>
  <c r="G198" i="14"/>
  <c r="H198" i="14"/>
  <c r="G199" i="14"/>
  <c r="H199" i="14"/>
  <c r="G200" i="14"/>
  <c r="H200" i="14"/>
  <c r="F101" i="14"/>
  <c r="F102" i="14"/>
  <c r="F103" i="14"/>
  <c r="F104" i="14"/>
  <c r="F105" i="14"/>
  <c r="F106" i="14"/>
  <c r="F107" i="14"/>
  <c r="F108" i="14"/>
  <c r="F109" i="14"/>
  <c r="F110" i="14"/>
  <c r="F111" i="14"/>
  <c r="F112" i="14"/>
  <c r="F113" i="14"/>
  <c r="F114" i="14"/>
  <c r="F115" i="14"/>
  <c r="F116" i="14"/>
  <c r="F117" i="14"/>
  <c r="F118" i="14"/>
  <c r="F119" i="14"/>
  <c r="F120" i="14"/>
  <c r="F121" i="14"/>
  <c r="F122" i="14"/>
  <c r="F123" i="14"/>
  <c r="F124" i="14"/>
  <c r="F125" i="14"/>
  <c r="F126" i="14"/>
  <c r="F127" i="14"/>
  <c r="F128" i="14"/>
  <c r="F129" i="14"/>
  <c r="F130" i="14"/>
  <c r="F131" i="14"/>
  <c r="F132" i="14"/>
  <c r="F133" i="14"/>
  <c r="F134" i="14"/>
  <c r="F135" i="14"/>
  <c r="F136" i="14"/>
  <c r="F137" i="14"/>
  <c r="F138" i="14"/>
  <c r="F139" i="14"/>
  <c r="F140" i="14"/>
  <c r="F141" i="14"/>
  <c r="F142" i="14"/>
  <c r="F143" i="14"/>
  <c r="F144" i="14"/>
  <c r="F145" i="14"/>
  <c r="F146" i="14"/>
  <c r="F147" i="14"/>
  <c r="F148" i="14"/>
  <c r="F149" i="14"/>
  <c r="F150" i="14"/>
  <c r="F151" i="14"/>
  <c r="F152" i="14"/>
  <c r="F153" i="14"/>
  <c r="F154" i="14"/>
  <c r="F155" i="14"/>
  <c r="F156" i="14"/>
  <c r="F157" i="14"/>
  <c r="F158" i="14"/>
  <c r="F159" i="14"/>
  <c r="F160" i="14"/>
  <c r="F161" i="14"/>
  <c r="F162" i="14"/>
  <c r="F163" i="14"/>
  <c r="F164" i="14"/>
  <c r="F165" i="14"/>
  <c r="F166" i="14"/>
  <c r="F167" i="14"/>
  <c r="F168" i="14"/>
  <c r="F169" i="14"/>
  <c r="F170" i="14"/>
  <c r="F171" i="14"/>
  <c r="F172" i="14"/>
  <c r="F173" i="14"/>
  <c r="F174" i="14"/>
  <c r="F175" i="14"/>
  <c r="F176" i="14"/>
  <c r="F177" i="14"/>
  <c r="F178" i="14"/>
  <c r="F179" i="14"/>
  <c r="F180" i="14"/>
  <c r="F181" i="14"/>
  <c r="F182" i="14"/>
  <c r="F183" i="14"/>
  <c r="F184" i="14"/>
  <c r="F185" i="14"/>
  <c r="F186" i="14"/>
  <c r="F187" i="14"/>
  <c r="F188" i="14"/>
  <c r="F189" i="14"/>
  <c r="F190" i="14"/>
  <c r="F191" i="14"/>
  <c r="F192" i="14"/>
  <c r="F193" i="14"/>
  <c r="F194" i="14"/>
  <c r="F195" i="14"/>
  <c r="F196" i="14"/>
  <c r="F197" i="14"/>
  <c r="F198" i="14"/>
  <c r="F199" i="14"/>
  <c r="F2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B188" i="14"/>
  <c r="B189" i="14"/>
  <c r="B190" i="14"/>
  <c r="B191" i="14"/>
  <c r="B192" i="14"/>
  <c r="B193" i="14"/>
  <c r="B194" i="14"/>
  <c r="B195" i="14"/>
  <c r="B196" i="14"/>
  <c r="B197" i="14"/>
  <c r="B198" i="14"/>
  <c r="B199" i="14"/>
  <c r="B200" i="14"/>
  <c r="C101" i="14"/>
  <c r="D101" i="14"/>
  <c r="C102" i="14"/>
  <c r="D102" i="14"/>
  <c r="C103" i="14"/>
  <c r="D103" i="14"/>
  <c r="C104" i="14"/>
  <c r="D104" i="14"/>
  <c r="C105" i="14"/>
  <c r="D105" i="14"/>
  <c r="C106" i="14"/>
  <c r="D106" i="14"/>
  <c r="C107" i="14"/>
  <c r="D107" i="14"/>
  <c r="C108" i="14"/>
  <c r="D108" i="14"/>
  <c r="C109" i="14"/>
  <c r="D109" i="14"/>
  <c r="C110" i="14"/>
  <c r="D110" i="14"/>
  <c r="C111" i="14"/>
  <c r="D111" i="14"/>
  <c r="C112" i="14"/>
  <c r="D112" i="14"/>
  <c r="C113" i="14"/>
  <c r="D113" i="14"/>
  <c r="C114" i="14"/>
  <c r="D114" i="14"/>
  <c r="C115" i="14"/>
  <c r="D115" i="14"/>
  <c r="C116" i="14"/>
  <c r="D116" i="14"/>
  <c r="C117" i="14"/>
  <c r="D117" i="14"/>
  <c r="C118" i="14"/>
  <c r="D118" i="14"/>
  <c r="C119" i="14"/>
  <c r="D119" i="14"/>
  <c r="C120" i="14"/>
  <c r="D120" i="14"/>
  <c r="C121" i="14"/>
  <c r="D121" i="14"/>
  <c r="C122" i="14"/>
  <c r="D122" i="14"/>
  <c r="C123" i="14"/>
  <c r="D123" i="14"/>
  <c r="C124" i="14"/>
  <c r="D124" i="14"/>
  <c r="C125" i="14"/>
  <c r="D125" i="14"/>
  <c r="C126" i="14"/>
  <c r="D126" i="14"/>
  <c r="C127" i="14"/>
  <c r="D127" i="14"/>
  <c r="C128" i="14"/>
  <c r="D128" i="14"/>
  <c r="C129" i="14"/>
  <c r="D129" i="14"/>
  <c r="C130" i="14"/>
  <c r="D130" i="14"/>
  <c r="C131" i="14"/>
  <c r="D131" i="14"/>
  <c r="C132" i="14"/>
  <c r="D132" i="14"/>
  <c r="C133" i="14"/>
  <c r="D133" i="14"/>
  <c r="C134" i="14"/>
  <c r="D134" i="14"/>
  <c r="C135" i="14"/>
  <c r="D135" i="14"/>
  <c r="C136" i="14"/>
  <c r="D136" i="14"/>
  <c r="C137" i="14"/>
  <c r="D137" i="14"/>
  <c r="C138" i="14"/>
  <c r="D138" i="14"/>
  <c r="C139" i="14"/>
  <c r="D139" i="14"/>
  <c r="C140" i="14"/>
  <c r="D140" i="14"/>
  <c r="C141" i="14"/>
  <c r="D141" i="14"/>
  <c r="C142" i="14"/>
  <c r="D142" i="14"/>
  <c r="C143" i="14"/>
  <c r="D143" i="14"/>
  <c r="C144" i="14"/>
  <c r="D144" i="14"/>
  <c r="C145" i="14"/>
  <c r="D145" i="14"/>
  <c r="C146" i="14"/>
  <c r="D146" i="14"/>
  <c r="C147" i="14"/>
  <c r="D147" i="14"/>
  <c r="C148" i="14"/>
  <c r="D148" i="14"/>
  <c r="C149" i="14"/>
  <c r="D149" i="14"/>
  <c r="C150" i="14"/>
  <c r="D150" i="14"/>
  <c r="C151" i="14"/>
  <c r="D151" i="14"/>
  <c r="C152" i="14"/>
  <c r="D152" i="14"/>
  <c r="C153" i="14"/>
  <c r="D153" i="14"/>
  <c r="C154" i="14"/>
  <c r="D154" i="14"/>
  <c r="C155" i="14"/>
  <c r="D155" i="14"/>
  <c r="C156" i="14"/>
  <c r="D156" i="14"/>
  <c r="C157" i="14"/>
  <c r="D157" i="14"/>
  <c r="C158" i="14"/>
  <c r="D158" i="14"/>
  <c r="C159" i="14"/>
  <c r="D159" i="14"/>
  <c r="C160" i="14"/>
  <c r="D160" i="14"/>
  <c r="C161" i="14"/>
  <c r="D161" i="14"/>
  <c r="C162" i="14"/>
  <c r="D162" i="14"/>
  <c r="C163" i="14"/>
  <c r="D163" i="14"/>
  <c r="C164" i="14"/>
  <c r="D164" i="14"/>
  <c r="C165" i="14"/>
  <c r="D165" i="14"/>
  <c r="C166" i="14"/>
  <c r="D166" i="14"/>
  <c r="C167" i="14"/>
  <c r="D167" i="14"/>
  <c r="C168" i="14"/>
  <c r="D168" i="14"/>
  <c r="C169" i="14"/>
  <c r="D169" i="14"/>
  <c r="C170" i="14"/>
  <c r="D170" i="14"/>
  <c r="C171" i="14"/>
  <c r="D171" i="14"/>
  <c r="C172" i="14"/>
  <c r="D172" i="14"/>
  <c r="C173" i="14"/>
  <c r="D173" i="14"/>
  <c r="C174" i="14"/>
  <c r="D174" i="14"/>
  <c r="C175" i="14"/>
  <c r="D175" i="14"/>
  <c r="C176" i="14"/>
  <c r="D176" i="14"/>
  <c r="C177" i="14"/>
  <c r="D177" i="14"/>
  <c r="C178" i="14"/>
  <c r="D178" i="14"/>
  <c r="C179" i="14"/>
  <c r="D179" i="14"/>
  <c r="C180" i="14"/>
  <c r="D180" i="14"/>
  <c r="C181" i="14"/>
  <c r="D181" i="14"/>
  <c r="C182" i="14"/>
  <c r="D182" i="14"/>
  <c r="C183" i="14"/>
  <c r="D183" i="14"/>
  <c r="C184" i="14"/>
  <c r="D184" i="14"/>
  <c r="C185" i="14"/>
  <c r="D185" i="14"/>
  <c r="C186" i="14"/>
  <c r="D186" i="14"/>
  <c r="C187" i="14"/>
  <c r="D187" i="14"/>
  <c r="C188" i="14"/>
  <c r="D188" i="14"/>
  <c r="C189" i="14"/>
  <c r="D189" i="14"/>
  <c r="C190" i="14"/>
  <c r="D190" i="14"/>
  <c r="C191" i="14"/>
  <c r="D191" i="14"/>
  <c r="C192" i="14"/>
  <c r="D192" i="14"/>
  <c r="C193" i="14"/>
  <c r="D193" i="14"/>
  <c r="C194" i="14"/>
  <c r="D194" i="14"/>
  <c r="C195" i="14"/>
  <c r="D195" i="14"/>
  <c r="C196" i="14"/>
  <c r="D196" i="14"/>
  <c r="C197" i="14"/>
  <c r="D197" i="14"/>
  <c r="C198" i="14"/>
  <c r="D198" i="14"/>
  <c r="C199" i="14"/>
  <c r="D199" i="14"/>
  <c r="C200" i="14"/>
  <c r="D200" i="14"/>
  <c r="A2" i="14" a="1"/>
  <c r="A2" i="14" s="1"/>
  <c r="B2" i="14" s="1"/>
  <c r="CV8" i="1"/>
  <c r="CV7" i="1"/>
  <c r="CE8" i="1"/>
  <c r="CE7" i="1"/>
  <c r="CE9" i="1"/>
  <c r="CE10" i="1"/>
  <c r="CE11" i="1"/>
  <c r="BP2" i="1"/>
  <c r="CE12" i="1"/>
  <c r="CV10" i="1"/>
  <c r="CV11" i="1"/>
  <c r="CV9" i="1"/>
  <c r="CV12" i="1"/>
  <c r="AK2" i="1"/>
  <c r="CY2" i="1" s="1"/>
  <c r="I2" i="1"/>
  <c r="AB10" i="1" a="1"/>
  <c r="H3" i="18" l="1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H18" i="18" s="1"/>
  <c r="H19" i="18" s="1"/>
  <c r="H20" i="18" s="1"/>
  <c r="H21" i="18" s="1"/>
  <c r="H22" i="18" s="1"/>
  <c r="H23" i="18" s="1"/>
  <c r="H24" i="18" s="1"/>
  <c r="H25" i="18" s="1"/>
  <c r="H26" i="18" s="1"/>
  <c r="H27" i="18" s="1"/>
  <c r="H28" i="18" s="1"/>
  <c r="H29" i="18" s="1"/>
  <c r="H30" i="18" s="1"/>
  <c r="H31" i="18" s="1"/>
  <c r="H32" i="18" s="1"/>
  <c r="H33" i="18" s="1"/>
  <c r="H34" i="18" s="1"/>
  <c r="H35" i="18" s="1"/>
  <c r="H36" i="18" s="1"/>
  <c r="H37" i="18" s="1"/>
  <c r="H38" i="18" s="1"/>
  <c r="H39" i="18" s="1"/>
  <c r="H40" i="18" s="1"/>
  <c r="H41" i="18" s="1"/>
  <c r="H42" i="18" s="1"/>
  <c r="H43" i="18" s="1"/>
  <c r="H44" i="18" s="1"/>
  <c r="H45" i="18" s="1"/>
  <c r="H46" i="18" s="1"/>
  <c r="H47" i="18" s="1"/>
  <c r="H48" i="18" s="1"/>
  <c r="H49" i="18" s="1"/>
  <c r="H50" i="18" s="1"/>
  <c r="H51" i="18" s="1"/>
  <c r="H52" i="18" s="1"/>
  <c r="H53" i="18" s="1"/>
  <c r="H54" i="18" s="1"/>
  <c r="H55" i="18" s="1"/>
  <c r="H56" i="18" s="1"/>
  <c r="H57" i="18" s="1"/>
  <c r="H58" i="18" s="1"/>
  <c r="H59" i="18" s="1"/>
  <c r="H60" i="18" s="1"/>
  <c r="H61" i="18" s="1"/>
  <c r="H62" i="18" s="1"/>
  <c r="H63" i="18" s="1"/>
  <c r="H64" i="18" s="1"/>
  <c r="H65" i="18" s="1"/>
  <c r="H66" i="18" s="1"/>
  <c r="H67" i="18" s="1"/>
  <c r="H68" i="18" s="1"/>
  <c r="H69" i="18" s="1"/>
  <c r="H70" i="18" s="1"/>
  <c r="H71" i="18" s="1"/>
  <c r="H72" i="18" s="1"/>
  <c r="H73" i="18" s="1"/>
  <c r="H74" i="18" s="1"/>
  <c r="H75" i="18" s="1"/>
  <c r="H76" i="18" s="1"/>
  <c r="H77" i="18" s="1"/>
  <c r="H78" i="18" s="1"/>
  <c r="H79" i="18" s="1"/>
  <c r="H80" i="18" s="1"/>
  <c r="H81" i="18" s="1"/>
  <c r="H82" i="18" s="1"/>
  <c r="H83" i="18" s="1"/>
  <c r="H84" i="18" s="1"/>
  <c r="H85" i="18" s="1"/>
  <c r="H86" i="18" s="1"/>
  <c r="H87" i="18" s="1"/>
  <c r="H88" i="18" s="1"/>
  <c r="H89" i="18" s="1"/>
  <c r="H90" i="18" s="1"/>
  <c r="H91" i="18" s="1"/>
  <c r="H92" i="18" s="1"/>
  <c r="H93" i="18" s="1"/>
  <c r="H94" i="18" s="1"/>
  <c r="H95" i="18" s="1"/>
  <c r="H96" i="18" s="1"/>
  <c r="H97" i="18" s="1"/>
  <c r="H98" i="18" s="1"/>
  <c r="H99" i="18" s="1"/>
  <c r="H100" i="18" s="1"/>
  <c r="H101" i="18" s="1"/>
  <c r="H102" i="18" s="1"/>
  <c r="AB7" i="1"/>
  <c r="B1" i="15" s="1"/>
  <c r="H10" i="15" s="1"/>
  <c r="AV30" i="1"/>
  <c r="AB10" i="1"/>
  <c r="AB8" i="1"/>
  <c r="C100" i="14"/>
  <c r="B100" i="14"/>
  <c r="B10" i="15"/>
  <c r="C95" i="14"/>
  <c r="C31" i="14"/>
  <c r="B83" i="14"/>
  <c r="B19" i="14"/>
  <c r="C87" i="14"/>
  <c r="C23" i="14"/>
  <c r="B75" i="14"/>
  <c r="B11" i="14"/>
  <c r="C79" i="14"/>
  <c r="C15" i="14"/>
  <c r="B67" i="14"/>
  <c r="B3" i="14"/>
  <c r="C71" i="14"/>
  <c r="C7" i="14"/>
  <c r="B59" i="14"/>
  <c r="C63" i="14"/>
  <c r="B51" i="14"/>
  <c r="C55" i="14"/>
  <c r="B43" i="14"/>
  <c r="C47" i="14"/>
  <c r="B99" i="14"/>
  <c r="B35" i="14"/>
  <c r="C39" i="14"/>
  <c r="B91" i="14"/>
  <c r="B27" i="14"/>
  <c r="C94" i="14"/>
  <c r="C86" i="14"/>
  <c r="C78" i="14"/>
  <c r="C70" i="14"/>
  <c r="D71" i="14" s="1"/>
  <c r="C62" i="14"/>
  <c r="C54" i="14"/>
  <c r="C46" i="14"/>
  <c r="C38" i="14"/>
  <c r="C30" i="14"/>
  <c r="D31" i="14" s="1"/>
  <c r="C22" i="14"/>
  <c r="C14" i="14"/>
  <c r="C6" i="14"/>
  <c r="B98" i="14"/>
  <c r="B90" i="14"/>
  <c r="B82" i="14"/>
  <c r="B74" i="14"/>
  <c r="B66" i="14"/>
  <c r="B58" i="14"/>
  <c r="B50" i="14"/>
  <c r="B42" i="14"/>
  <c r="B34" i="14"/>
  <c r="B26" i="14"/>
  <c r="B18" i="14"/>
  <c r="B10" i="14"/>
  <c r="C93" i="14"/>
  <c r="D94" i="14" s="1"/>
  <c r="C85" i="14"/>
  <c r="C77" i="14"/>
  <c r="C69" i="14"/>
  <c r="C61" i="14"/>
  <c r="D62" i="14" s="1"/>
  <c r="C53" i="14"/>
  <c r="C45" i="14"/>
  <c r="C37" i="14"/>
  <c r="C29" i="14"/>
  <c r="D30" i="14" s="1"/>
  <c r="C21" i="14"/>
  <c r="C13" i="14"/>
  <c r="C5" i="14"/>
  <c r="B97" i="14"/>
  <c r="B89" i="14"/>
  <c r="B81" i="14"/>
  <c r="B73" i="14"/>
  <c r="B65" i="14"/>
  <c r="B57" i="14"/>
  <c r="B49" i="14"/>
  <c r="B41" i="14"/>
  <c r="B33" i="14"/>
  <c r="B25" i="14"/>
  <c r="B17" i="14"/>
  <c r="B9" i="14"/>
  <c r="C2" i="14"/>
  <c r="C92" i="14"/>
  <c r="C84" i="14"/>
  <c r="C76" i="14"/>
  <c r="C68" i="14"/>
  <c r="C60" i="14"/>
  <c r="C52" i="14"/>
  <c r="C44" i="14"/>
  <c r="C36" i="14"/>
  <c r="C28" i="14"/>
  <c r="C20" i="14"/>
  <c r="C12" i="14"/>
  <c r="C4" i="14"/>
  <c r="B96" i="14"/>
  <c r="B88" i="14"/>
  <c r="B80" i="14"/>
  <c r="B72" i="14"/>
  <c r="B64" i="14"/>
  <c r="B56" i="14"/>
  <c r="B48" i="14"/>
  <c r="B40" i="14"/>
  <c r="B32" i="14"/>
  <c r="B24" i="14"/>
  <c r="B16" i="14"/>
  <c r="B8" i="14"/>
  <c r="B7" i="14"/>
  <c r="C99" i="14"/>
  <c r="D100" i="14" s="1"/>
  <c r="C83" i="14"/>
  <c r="C75" i="14"/>
  <c r="C59" i="14"/>
  <c r="C43" i="14"/>
  <c r="C35" i="14"/>
  <c r="C19" i="14"/>
  <c r="C3" i="14"/>
  <c r="B87" i="14"/>
  <c r="B71" i="14"/>
  <c r="B55" i="14"/>
  <c r="B15" i="14"/>
  <c r="C98" i="14"/>
  <c r="C90" i="14"/>
  <c r="C82" i="14"/>
  <c r="C74" i="14"/>
  <c r="C66" i="14"/>
  <c r="C58" i="14"/>
  <c r="C50" i="14"/>
  <c r="C42" i="14"/>
  <c r="C34" i="14"/>
  <c r="C26" i="14"/>
  <c r="C18" i="14"/>
  <c r="C10" i="14"/>
  <c r="B94" i="14"/>
  <c r="B86" i="14"/>
  <c r="B78" i="14"/>
  <c r="B70" i="14"/>
  <c r="B62" i="14"/>
  <c r="B54" i="14"/>
  <c r="B46" i="14"/>
  <c r="B38" i="14"/>
  <c r="B30" i="14"/>
  <c r="B22" i="14"/>
  <c r="B14" i="14"/>
  <c r="B6" i="14"/>
  <c r="C91" i="14"/>
  <c r="C67" i="14"/>
  <c r="C51" i="14"/>
  <c r="C27" i="14"/>
  <c r="C11" i="14"/>
  <c r="B95" i="14"/>
  <c r="B79" i="14"/>
  <c r="B63" i="14"/>
  <c r="B47" i="14"/>
  <c r="B39" i="14"/>
  <c r="B31" i="14"/>
  <c r="B23" i="14"/>
  <c r="C97" i="14"/>
  <c r="C89" i="14"/>
  <c r="C81" i="14"/>
  <c r="C73" i="14"/>
  <c r="C65" i="14"/>
  <c r="C57" i="14"/>
  <c r="C49" i="14"/>
  <c r="C41" i="14"/>
  <c r="C33" i="14"/>
  <c r="C25" i="14"/>
  <c r="C17" i="14"/>
  <c r="C9" i="14"/>
  <c r="B93" i="14"/>
  <c r="B85" i="14"/>
  <c r="B77" i="14"/>
  <c r="B69" i="14"/>
  <c r="B61" i="14"/>
  <c r="B53" i="14"/>
  <c r="B45" i="14"/>
  <c r="B37" i="14"/>
  <c r="B29" i="14"/>
  <c r="B21" i="14"/>
  <c r="B13" i="14"/>
  <c r="B5" i="14"/>
  <c r="C96" i="14"/>
  <c r="C88" i="14"/>
  <c r="C80" i="14"/>
  <c r="C72" i="14"/>
  <c r="C64" i="14"/>
  <c r="C56" i="14"/>
  <c r="C48" i="14"/>
  <c r="C40" i="14"/>
  <c r="C32" i="14"/>
  <c r="C24" i="14"/>
  <c r="C16" i="14"/>
  <c r="C8" i="14"/>
  <c r="B92" i="14"/>
  <c r="B84" i="14"/>
  <c r="B76" i="14"/>
  <c r="B68" i="14"/>
  <c r="B60" i="14"/>
  <c r="B52" i="14"/>
  <c r="B44" i="14"/>
  <c r="B36" i="14"/>
  <c r="B28" i="14"/>
  <c r="B20" i="14"/>
  <c r="B12" i="14"/>
  <c r="B4" i="14"/>
  <c r="L31" i="1" a="1"/>
  <c r="H35" i="15" l="1"/>
  <c r="H23" i="15"/>
  <c r="A4" i="18"/>
  <c r="A8" i="18" s="1"/>
  <c r="C3" i="18" s="1"/>
  <c r="C4" i="18" s="1"/>
  <c r="E3" i="18"/>
  <c r="E11" i="18"/>
  <c r="E19" i="18"/>
  <c r="E27" i="18"/>
  <c r="E35" i="18"/>
  <c r="E43" i="18"/>
  <c r="E51" i="18"/>
  <c r="E59" i="18"/>
  <c r="E67" i="18"/>
  <c r="E75" i="18"/>
  <c r="E83" i="18"/>
  <c r="E91" i="18"/>
  <c r="E99" i="18"/>
  <c r="E50" i="18"/>
  <c r="E74" i="18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34" i="18"/>
  <c r="E5" i="18"/>
  <c r="E13" i="18"/>
  <c r="E21" i="18"/>
  <c r="E29" i="18"/>
  <c r="E37" i="18"/>
  <c r="E45" i="18"/>
  <c r="E53" i="18"/>
  <c r="E61" i="18"/>
  <c r="E69" i="18"/>
  <c r="E77" i="18"/>
  <c r="E85" i="18"/>
  <c r="E93" i="18"/>
  <c r="E101" i="18"/>
  <c r="E26" i="18"/>
  <c r="E58" i="18"/>
  <c r="E90" i="18"/>
  <c r="E6" i="18"/>
  <c r="E14" i="18"/>
  <c r="E22" i="18"/>
  <c r="E30" i="18"/>
  <c r="E38" i="18"/>
  <c r="E46" i="18"/>
  <c r="E54" i="18"/>
  <c r="E62" i="18"/>
  <c r="E70" i="18"/>
  <c r="E78" i="18"/>
  <c r="E86" i="18"/>
  <c r="E94" i="18"/>
  <c r="E102" i="18"/>
  <c r="E2" i="18"/>
  <c r="E42" i="18"/>
  <c r="E82" i="18"/>
  <c r="E7" i="18"/>
  <c r="E15" i="18"/>
  <c r="E23" i="18"/>
  <c r="E31" i="18"/>
  <c r="E39" i="18"/>
  <c r="E47" i="18"/>
  <c r="E55" i="18"/>
  <c r="E63" i="18"/>
  <c r="E71" i="18"/>
  <c r="E79" i="18"/>
  <c r="E87" i="18"/>
  <c r="E95" i="18"/>
  <c r="E10" i="18"/>
  <c r="E8" i="18"/>
  <c r="E16" i="18"/>
  <c r="E24" i="18"/>
  <c r="E32" i="18"/>
  <c r="E40" i="18"/>
  <c r="E48" i="18"/>
  <c r="E56" i="18"/>
  <c r="E64" i="18"/>
  <c r="E72" i="18"/>
  <c r="E80" i="18"/>
  <c r="E88" i="18"/>
  <c r="E96" i="18"/>
  <c r="E9" i="18"/>
  <c r="E17" i="18"/>
  <c r="E25" i="18"/>
  <c r="E33" i="18"/>
  <c r="E41" i="18"/>
  <c r="E49" i="18"/>
  <c r="E57" i="18"/>
  <c r="E65" i="18"/>
  <c r="E73" i="18"/>
  <c r="E81" i="18"/>
  <c r="E89" i="18"/>
  <c r="E97" i="18"/>
  <c r="E18" i="18"/>
  <c r="E66" i="18"/>
  <c r="E98" i="18"/>
  <c r="H48" i="15"/>
  <c r="I4" i="18"/>
  <c r="I3" i="18"/>
  <c r="I5" i="18"/>
  <c r="H67" i="15"/>
  <c r="H116" i="15"/>
  <c r="H141" i="15"/>
  <c r="H80" i="15"/>
  <c r="H18" i="15"/>
  <c r="H84" i="15"/>
  <c r="H137" i="15"/>
  <c r="H173" i="15"/>
  <c r="H198" i="15"/>
  <c r="L31" i="1"/>
  <c r="H50" i="15"/>
  <c r="H99" i="15"/>
  <c r="H148" i="15"/>
  <c r="H6" i="15"/>
  <c r="H55" i="15"/>
  <c r="H112" i="15"/>
  <c r="H193" i="15"/>
  <c r="H82" i="15"/>
  <c r="H131" i="15"/>
  <c r="H180" i="15"/>
  <c r="H38" i="15"/>
  <c r="H87" i="15"/>
  <c r="H144" i="15"/>
  <c r="H114" i="15"/>
  <c r="H163" i="15"/>
  <c r="H13" i="15"/>
  <c r="H70" i="15"/>
  <c r="H119" i="15"/>
  <c r="H176" i="15"/>
  <c r="H146" i="15"/>
  <c r="H195" i="15"/>
  <c r="H45" i="15"/>
  <c r="H102" i="15"/>
  <c r="H151" i="15"/>
  <c r="H9" i="15"/>
  <c r="H178" i="15"/>
  <c r="H20" i="15"/>
  <c r="H77" i="15"/>
  <c r="H134" i="15"/>
  <c r="H183" i="15"/>
  <c r="H41" i="15"/>
  <c r="H3" i="15"/>
  <c r="H52" i="15"/>
  <c r="H109" i="15"/>
  <c r="H166" i="15"/>
  <c r="H16" i="15"/>
  <c r="H73" i="15"/>
  <c r="H105" i="15"/>
  <c r="H58" i="15"/>
  <c r="H122" i="15"/>
  <c r="H186" i="15"/>
  <c r="H43" i="15"/>
  <c r="H107" i="15"/>
  <c r="H171" i="15"/>
  <c r="H28" i="15"/>
  <c r="H92" i="15"/>
  <c r="H156" i="15"/>
  <c r="H21" i="15"/>
  <c r="H85" i="15"/>
  <c r="H149" i="15"/>
  <c r="H14" i="15"/>
  <c r="H78" i="15"/>
  <c r="H142" i="15"/>
  <c r="B8" i="15"/>
  <c r="H63" i="15"/>
  <c r="H127" i="15"/>
  <c r="H191" i="15"/>
  <c r="H56" i="15"/>
  <c r="H120" i="15"/>
  <c r="H184" i="15"/>
  <c r="H49" i="15"/>
  <c r="H113" i="15"/>
  <c r="H201" i="15"/>
  <c r="H66" i="15"/>
  <c r="H130" i="15"/>
  <c r="H194" i="15"/>
  <c r="H51" i="15"/>
  <c r="H115" i="15"/>
  <c r="H179" i="15"/>
  <c r="H36" i="15"/>
  <c r="H100" i="15"/>
  <c r="H164" i="15"/>
  <c r="H29" i="15"/>
  <c r="H93" i="15"/>
  <c r="H157" i="15"/>
  <c r="H22" i="15"/>
  <c r="H86" i="15"/>
  <c r="H150" i="15"/>
  <c r="H7" i="15"/>
  <c r="H71" i="15"/>
  <c r="H135" i="15"/>
  <c r="H199" i="15"/>
  <c r="H64" i="15"/>
  <c r="H128" i="15"/>
  <c r="H192" i="15"/>
  <c r="H57" i="15"/>
  <c r="H121" i="15"/>
  <c r="H74" i="15"/>
  <c r="H138" i="15"/>
  <c r="H202" i="15"/>
  <c r="H59" i="15"/>
  <c r="H123" i="15"/>
  <c r="H187" i="15"/>
  <c r="H44" i="15"/>
  <c r="H108" i="15"/>
  <c r="H172" i="15"/>
  <c r="H37" i="15"/>
  <c r="H101" i="15"/>
  <c r="H165" i="15"/>
  <c r="H30" i="15"/>
  <c r="H94" i="15"/>
  <c r="H158" i="15"/>
  <c r="H15" i="15"/>
  <c r="H79" i="15"/>
  <c r="H143" i="15"/>
  <c r="H8" i="15"/>
  <c r="H72" i="15"/>
  <c r="H136" i="15"/>
  <c r="H200" i="15"/>
  <c r="H65" i="15"/>
  <c r="H129" i="15"/>
  <c r="H26" i="15"/>
  <c r="H90" i="15"/>
  <c r="H154" i="15"/>
  <c r="H11" i="15"/>
  <c r="H75" i="15"/>
  <c r="H139" i="15"/>
  <c r="H2" i="15"/>
  <c r="H60" i="15"/>
  <c r="H124" i="15"/>
  <c r="H188" i="15"/>
  <c r="H53" i="15"/>
  <c r="H117" i="15"/>
  <c r="H181" i="15"/>
  <c r="H46" i="15"/>
  <c r="H110" i="15"/>
  <c r="H174" i="15"/>
  <c r="H31" i="15"/>
  <c r="H95" i="15"/>
  <c r="H159" i="15"/>
  <c r="H24" i="15"/>
  <c r="H88" i="15"/>
  <c r="H152" i="15"/>
  <c r="H17" i="15"/>
  <c r="H81" i="15"/>
  <c r="H145" i="15"/>
  <c r="H34" i="15"/>
  <c r="H98" i="15"/>
  <c r="H162" i="15"/>
  <c r="H19" i="15"/>
  <c r="H83" i="15"/>
  <c r="H147" i="15"/>
  <c r="H4" i="15"/>
  <c r="H68" i="15"/>
  <c r="H132" i="15"/>
  <c r="H196" i="15"/>
  <c r="H61" i="15"/>
  <c r="H125" i="15"/>
  <c r="H189" i="15"/>
  <c r="H54" i="15"/>
  <c r="H118" i="15"/>
  <c r="H182" i="15"/>
  <c r="H39" i="15"/>
  <c r="H103" i="15"/>
  <c r="H167" i="15"/>
  <c r="H32" i="15"/>
  <c r="H96" i="15"/>
  <c r="H160" i="15"/>
  <c r="H25" i="15"/>
  <c r="H89" i="15"/>
  <c r="H153" i="15"/>
  <c r="H42" i="15"/>
  <c r="H106" i="15"/>
  <c r="H170" i="15"/>
  <c r="H27" i="15"/>
  <c r="H91" i="15"/>
  <c r="H155" i="15"/>
  <c r="H12" i="15"/>
  <c r="H76" i="15"/>
  <c r="H140" i="15"/>
  <c r="H5" i="15"/>
  <c r="H69" i="15"/>
  <c r="H133" i="15"/>
  <c r="H197" i="15"/>
  <c r="H62" i="15"/>
  <c r="H126" i="15"/>
  <c r="H190" i="15"/>
  <c r="H47" i="15"/>
  <c r="H111" i="15"/>
  <c r="H175" i="15"/>
  <c r="H40" i="15"/>
  <c r="H104" i="15"/>
  <c r="H168" i="15"/>
  <c r="H33" i="15"/>
  <c r="H97" i="15"/>
  <c r="H161" i="15"/>
  <c r="H169" i="15"/>
  <c r="H177" i="15"/>
  <c r="H185" i="15"/>
  <c r="D56" i="14"/>
  <c r="D16" i="14"/>
  <c r="D32" i="14"/>
  <c r="D7" i="14"/>
  <c r="D48" i="14"/>
  <c r="D51" i="14"/>
  <c r="D68" i="14"/>
  <c r="D63" i="14"/>
  <c r="D40" i="14"/>
  <c r="D64" i="14"/>
  <c r="D15" i="14"/>
  <c r="D53" i="14"/>
  <c r="D8" i="14"/>
  <c r="D93" i="14"/>
  <c r="D24" i="14"/>
  <c r="D88" i="14"/>
  <c r="D55" i="14"/>
  <c r="D14" i="14"/>
  <c r="D61" i="14"/>
  <c r="D37" i="14"/>
  <c r="D11" i="14"/>
  <c r="D39" i="14"/>
  <c r="D84" i="14"/>
  <c r="D54" i="14"/>
  <c r="D12" i="14"/>
  <c r="D52" i="14"/>
  <c r="D74" i="14"/>
  <c r="D60" i="14"/>
  <c r="D29" i="14"/>
  <c r="D36" i="14"/>
  <c r="D77" i="14"/>
  <c r="D87" i="14"/>
  <c r="D78" i="14"/>
  <c r="D72" i="14"/>
  <c r="D27" i="14"/>
  <c r="D13" i="14"/>
  <c r="D4" i="14"/>
  <c r="D80" i="14"/>
  <c r="D38" i="14"/>
  <c r="D96" i="14"/>
  <c r="D91" i="14"/>
  <c r="D41" i="14"/>
  <c r="D10" i="14"/>
  <c r="D18" i="14"/>
  <c r="D22" i="14"/>
  <c r="D79" i="14"/>
  <c r="D95" i="14"/>
  <c r="D20" i="14"/>
  <c r="D17" i="14"/>
  <c r="D81" i="14"/>
  <c r="D5" i="14"/>
  <c r="D69" i="14"/>
  <c r="D73" i="14"/>
  <c r="D66" i="14"/>
  <c r="D92" i="14"/>
  <c r="D49" i="14"/>
  <c r="D23" i="14"/>
  <c r="D57" i="14"/>
  <c r="D75" i="14"/>
  <c r="D85" i="14"/>
  <c r="D44" i="14"/>
  <c r="D9" i="14"/>
  <c r="D65" i="14"/>
  <c r="D26" i="14"/>
  <c r="D90" i="14"/>
  <c r="D83" i="14"/>
  <c r="D3" i="14"/>
  <c r="D45" i="14"/>
  <c r="D25" i="14"/>
  <c r="D89" i="14"/>
  <c r="D50" i="14"/>
  <c r="D42" i="14"/>
  <c r="D33" i="14"/>
  <c r="D97" i="14"/>
  <c r="D67" i="14"/>
  <c r="D28" i="14"/>
  <c r="D98" i="14"/>
  <c r="D59" i="14"/>
  <c r="D6" i="14"/>
  <c r="D58" i="14"/>
  <c r="D99" i="14"/>
  <c r="D46" i="14"/>
  <c r="D34" i="14"/>
  <c r="D19" i="14"/>
  <c r="D70" i="14"/>
  <c r="D76" i="14"/>
  <c r="D47" i="14"/>
  <c r="D82" i="14"/>
  <c r="D35" i="14"/>
  <c r="D21" i="14"/>
  <c r="D86" i="14"/>
  <c r="D43" i="14"/>
  <c r="C5" i="18" l="1"/>
  <c r="I6" i="18"/>
  <c r="E3" i="14"/>
  <c r="C6" i="18" l="1"/>
  <c r="I7" i="18"/>
  <c r="E4" i="14"/>
  <c r="F3" i="14"/>
  <c r="C7" i="18" l="1"/>
  <c r="I8" i="18"/>
  <c r="E5" i="14"/>
  <c r="F4" i="14"/>
  <c r="G3" i="14"/>
  <c r="H3" i="14"/>
  <c r="C8" i="18" l="1"/>
  <c r="I9" i="18"/>
  <c r="E6" i="14"/>
  <c r="F5" i="14"/>
  <c r="G4" i="14"/>
  <c r="H4" i="14"/>
  <c r="C9" i="18" l="1"/>
  <c r="I10" i="18"/>
  <c r="G5" i="14"/>
  <c r="H5" i="14"/>
  <c r="E7" i="14"/>
  <c r="F6" i="14"/>
  <c r="C10" i="18" l="1"/>
  <c r="I11" i="18"/>
  <c r="E8" i="14"/>
  <c r="F7" i="14"/>
  <c r="G6" i="14"/>
  <c r="H6" i="14"/>
  <c r="C11" i="18" l="1"/>
  <c r="I12" i="18"/>
  <c r="E9" i="14"/>
  <c r="F8" i="14"/>
  <c r="G7" i="14"/>
  <c r="H7" i="14"/>
  <c r="C12" i="18" l="1"/>
  <c r="I13" i="18"/>
  <c r="E10" i="14"/>
  <c r="F9" i="14"/>
  <c r="G8" i="14"/>
  <c r="H8" i="14"/>
  <c r="C13" i="18" l="1"/>
  <c r="I14" i="18"/>
  <c r="E11" i="14"/>
  <c r="F10" i="14"/>
  <c r="G9" i="14"/>
  <c r="H9" i="14"/>
  <c r="C14" i="18" l="1"/>
  <c r="I15" i="18"/>
  <c r="G10" i="14"/>
  <c r="H10" i="14"/>
  <c r="E12" i="14"/>
  <c r="F11" i="14"/>
  <c r="C15" i="18" l="1"/>
  <c r="I16" i="18"/>
  <c r="E13" i="14"/>
  <c r="F12" i="14"/>
  <c r="H11" i="14"/>
  <c r="G11" i="14"/>
  <c r="C16" i="18" l="1"/>
  <c r="I17" i="18"/>
  <c r="E14" i="14"/>
  <c r="F13" i="14"/>
  <c r="G12" i="14"/>
  <c r="H12" i="14"/>
  <c r="C17" i="18" l="1"/>
  <c r="I18" i="18"/>
  <c r="E15" i="14"/>
  <c r="F14" i="14"/>
  <c r="H13" i="14"/>
  <c r="G13" i="14"/>
  <c r="C18" i="18" l="1"/>
  <c r="I19" i="18"/>
  <c r="E16" i="14"/>
  <c r="F15" i="14"/>
  <c r="G14" i="14"/>
  <c r="H14" i="14"/>
  <c r="C19" i="18" l="1"/>
  <c r="I20" i="18"/>
  <c r="E17" i="14"/>
  <c r="F16" i="14"/>
  <c r="G15" i="14"/>
  <c r="H15" i="14"/>
  <c r="C20" i="18" l="1"/>
  <c r="I21" i="18"/>
  <c r="E18" i="14"/>
  <c r="F17" i="14"/>
  <c r="G16" i="14"/>
  <c r="H16" i="14"/>
  <c r="C21" i="18" l="1"/>
  <c r="I22" i="18"/>
  <c r="E19" i="14"/>
  <c r="F18" i="14"/>
  <c r="G17" i="14"/>
  <c r="H17" i="14"/>
  <c r="C22" i="18" l="1"/>
  <c r="I23" i="18"/>
  <c r="E20" i="14"/>
  <c r="F19" i="14"/>
  <c r="H18" i="14"/>
  <c r="G18" i="14"/>
  <c r="C23" i="18" l="1"/>
  <c r="I24" i="18"/>
  <c r="E21" i="14"/>
  <c r="F20" i="14"/>
  <c r="H19" i="14"/>
  <c r="G19" i="14"/>
  <c r="C24" i="18" l="1"/>
  <c r="I25" i="18"/>
  <c r="E22" i="14"/>
  <c r="F21" i="14"/>
  <c r="H20" i="14"/>
  <c r="G20" i="14"/>
  <c r="C25" i="18" l="1"/>
  <c r="I26" i="18"/>
  <c r="H21" i="14"/>
  <c r="G21" i="14"/>
  <c r="E23" i="14"/>
  <c r="F22" i="14"/>
  <c r="C26" i="18" l="1"/>
  <c r="I27" i="18"/>
  <c r="H22" i="14"/>
  <c r="G22" i="14"/>
  <c r="E24" i="14"/>
  <c r="F23" i="14"/>
  <c r="C27" i="18" l="1"/>
  <c r="I28" i="18"/>
  <c r="G23" i="14"/>
  <c r="H23" i="14"/>
  <c r="E25" i="14"/>
  <c r="F24" i="14"/>
  <c r="C28" i="18" l="1"/>
  <c r="I29" i="18"/>
  <c r="H24" i="14"/>
  <c r="G24" i="14"/>
  <c r="E26" i="14"/>
  <c r="F25" i="14"/>
  <c r="C29" i="18" l="1"/>
  <c r="I30" i="18"/>
  <c r="G25" i="14"/>
  <c r="H25" i="14"/>
  <c r="E27" i="14"/>
  <c r="F26" i="14"/>
  <c r="C30" i="18" l="1"/>
  <c r="I31" i="18"/>
  <c r="G26" i="14"/>
  <c r="H26" i="14"/>
  <c r="E28" i="14"/>
  <c r="F27" i="14"/>
  <c r="C31" i="18" l="1"/>
  <c r="I32" i="18"/>
  <c r="E29" i="14"/>
  <c r="F28" i="14"/>
  <c r="G27" i="14"/>
  <c r="H27" i="14"/>
  <c r="C32" i="18" l="1"/>
  <c r="I33" i="18"/>
  <c r="E30" i="14"/>
  <c r="F29" i="14"/>
  <c r="G28" i="14"/>
  <c r="H28" i="14"/>
  <c r="C33" i="18" l="1"/>
  <c r="I34" i="18"/>
  <c r="E31" i="14"/>
  <c r="F30" i="14"/>
  <c r="G29" i="14"/>
  <c r="H29" i="14"/>
  <c r="C34" i="18" l="1"/>
  <c r="I35" i="18"/>
  <c r="E32" i="14"/>
  <c r="F31" i="14"/>
  <c r="G30" i="14"/>
  <c r="H30" i="14"/>
  <c r="C35" i="18" l="1"/>
  <c r="I36" i="18"/>
  <c r="H31" i="14"/>
  <c r="G31" i="14"/>
  <c r="E33" i="14"/>
  <c r="F32" i="14"/>
  <c r="C36" i="18" l="1"/>
  <c r="I37" i="18"/>
  <c r="H32" i="14"/>
  <c r="G32" i="14"/>
  <c r="E34" i="14"/>
  <c r="F33" i="14"/>
  <c r="C37" i="18" l="1"/>
  <c r="I38" i="18"/>
  <c r="H33" i="14"/>
  <c r="G33" i="14"/>
  <c r="E35" i="14"/>
  <c r="F34" i="14"/>
  <c r="C38" i="18" l="1"/>
  <c r="I39" i="18"/>
  <c r="E36" i="14"/>
  <c r="F35" i="14"/>
  <c r="H34" i="14"/>
  <c r="G34" i="14"/>
  <c r="C39" i="18" l="1"/>
  <c r="I40" i="18"/>
  <c r="G35" i="14"/>
  <c r="H35" i="14"/>
  <c r="E37" i="14"/>
  <c r="F36" i="14"/>
  <c r="C40" i="18" l="1"/>
  <c r="I41" i="18"/>
  <c r="G36" i="14"/>
  <c r="H36" i="14"/>
  <c r="E38" i="14"/>
  <c r="F37" i="14"/>
  <c r="C41" i="18" l="1"/>
  <c r="I42" i="18"/>
  <c r="G37" i="14"/>
  <c r="H37" i="14"/>
  <c r="E39" i="14"/>
  <c r="F38" i="14"/>
  <c r="C42" i="18" l="1"/>
  <c r="I43" i="18"/>
  <c r="H38" i="14"/>
  <c r="G38" i="14"/>
  <c r="E40" i="14"/>
  <c r="F39" i="14"/>
  <c r="C43" i="18" l="1"/>
  <c r="I44" i="18"/>
  <c r="G39" i="14"/>
  <c r="H39" i="14"/>
  <c r="E41" i="14"/>
  <c r="F40" i="14"/>
  <c r="C44" i="18" l="1"/>
  <c r="I45" i="18"/>
  <c r="G40" i="14"/>
  <c r="H40" i="14"/>
  <c r="E42" i="14"/>
  <c r="F41" i="14"/>
  <c r="C45" i="18" l="1"/>
  <c r="I46" i="18"/>
  <c r="G41" i="14"/>
  <c r="H41" i="14"/>
  <c r="E43" i="14"/>
  <c r="F42" i="14"/>
  <c r="C46" i="18" l="1"/>
  <c r="I47" i="18"/>
  <c r="E44" i="14"/>
  <c r="F43" i="14"/>
  <c r="G42" i="14"/>
  <c r="H42" i="14"/>
  <c r="C47" i="18" l="1"/>
  <c r="I48" i="18"/>
  <c r="H43" i="14"/>
  <c r="G43" i="14"/>
  <c r="E45" i="14"/>
  <c r="F44" i="14"/>
  <c r="C48" i="18" l="1"/>
  <c r="I49" i="18"/>
  <c r="G44" i="14"/>
  <c r="H44" i="14"/>
  <c r="E46" i="14"/>
  <c r="F45" i="14"/>
  <c r="C49" i="18" l="1"/>
  <c r="I50" i="18"/>
  <c r="E47" i="14"/>
  <c r="F46" i="14"/>
  <c r="H45" i="14"/>
  <c r="G45" i="14"/>
  <c r="C50" i="18" l="1"/>
  <c r="I51" i="18"/>
  <c r="G46" i="14"/>
  <c r="H46" i="14"/>
  <c r="E48" i="14"/>
  <c r="F47" i="14"/>
  <c r="C51" i="18" l="1"/>
  <c r="I52" i="18"/>
  <c r="H47" i="14"/>
  <c r="G47" i="14"/>
  <c r="E49" i="14"/>
  <c r="F48" i="14"/>
  <c r="C52" i="18" l="1"/>
  <c r="I53" i="18"/>
  <c r="H48" i="14"/>
  <c r="G48" i="14"/>
  <c r="E50" i="14"/>
  <c r="F49" i="14"/>
  <c r="C53" i="18" l="1"/>
  <c r="I54" i="18"/>
  <c r="E51" i="14"/>
  <c r="F50" i="14"/>
  <c r="G49" i="14"/>
  <c r="H49" i="14"/>
  <c r="C54" i="18" l="1"/>
  <c r="I55" i="18"/>
  <c r="G50" i="14"/>
  <c r="H50" i="14"/>
  <c r="E52" i="14"/>
  <c r="F51" i="14"/>
  <c r="C55" i="18" l="1"/>
  <c r="I56" i="18"/>
  <c r="G51" i="14"/>
  <c r="H51" i="14"/>
  <c r="E53" i="14"/>
  <c r="F52" i="14"/>
  <c r="C56" i="18" l="1"/>
  <c r="I57" i="18"/>
  <c r="G52" i="14"/>
  <c r="H52" i="14"/>
  <c r="E54" i="14"/>
  <c r="F53" i="14"/>
  <c r="C57" i="18" l="1"/>
  <c r="I58" i="18"/>
  <c r="H53" i="14"/>
  <c r="G53" i="14"/>
  <c r="E55" i="14"/>
  <c r="F54" i="14"/>
  <c r="C58" i="18" l="1"/>
  <c r="I59" i="18"/>
  <c r="G54" i="14"/>
  <c r="H54" i="14"/>
  <c r="E56" i="14"/>
  <c r="F55" i="14"/>
  <c r="C59" i="18" l="1"/>
  <c r="I60" i="18"/>
  <c r="E57" i="14"/>
  <c r="F56" i="14"/>
  <c r="H55" i="14"/>
  <c r="G55" i="14"/>
  <c r="C60" i="18" l="1"/>
  <c r="I61" i="18"/>
  <c r="H56" i="14"/>
  <c r="G56" i="14"/>
  <c r="E58" i="14"/>
  <c r="F57" i="14"/>
  <c r="C61" i="18" l="1"/>
  <c r="I62" i="18"/>
  <c r="E59" i="14"/>
  <c r="F58" i="14"/>
  <c r="G57" i="14"/>
  <c r="H57" i="14"/>
  <c r="C62" i="18" l="1"/>
  <c r="I63" i="18"/>
  <c r="G58" i="14"/>
  <c r="H58" i="14"/>
  <c r="E60" i="14"/>
  <c r="F59" i="14"/>
  <c r="C63" i="18" l="1"/>
  <c r="I64" i="18"/>
  <c r="E61" i="14"/>
  <c r="F60" i="14"/>
  <c r="G59" i="14"/>
  <c r="H59" i="14"/>
  <c r="C64" i="18" l="1"/>
  <c r="I65" i="18"/>
  <c r="H60" i="14"/>
  <c r="G60" i="14"/>
  <c r="E62" i="14"/>
  <c r="F61" i="14"/>
  <c r="C65" i="18" l="1"/>
  <c r="I66" i="18"/>
  <c r="E63" i="14"/>
  <c r="F62" i="14"/>
  <c r="G61" i="14"/>
  <c r="H61" i="14"/>
  <c r="C66" i="18" l="1"/>
  <c r="I67" i="18"/>
  <c r="G62" i="14"/>
  <c r="H62" i="14"/>
  <c r="E64" i="14"/>
  <c r="F63" i="14"/>
  <c r="C67" i="18" l="1"/>
  <c r="I68" i="18"/>
  <c r="G63" i="14"/>
  <c r="H63" i="14"/>
  <c r="E65" i="14"/>
  <c r="F64" i="14"/>
  <c r="C68" i="18" l="1"/>
  <c r="I69" i="18"/>
  <c r="H64" i="14"/>
  <c r="G64" i="14"/>
  <c r="E66" i="14"/>
  <c r="F65" i="14"/>
  <c r="C69" i="18" l="1"/>
  <c r="I70" i="18"/>
  <c r="E67" i="14"/>
  <c r="F66" i="14"/>
  <c r="G65" i="14"/>
  <c r="H65" i="14"/>
  <c r="C70" i="18" l="1"/>
  <c r="I71" i="18"/>
  <c r="H66" i="14"/>
  <c r="G66" i="14"/>
  <c r="E68" i="14"/>
  <c r="F67" i="14"/>
  <c r="C71" i="18" l="1"/>
  <c r="I72" i="18"/>
  <c r="G67" i="14"/>
  <c r="H67" i="14"/>
  <c r="E69" i="14"/>
  <c r="F68" i="14"/>
  <c r="C72" i="18" l="1"/>
  <c r="I73" i="18"/>
  <c r="G68" i="14"/>
  <c r="H68" i="14"/>
  <c r="E70" i="14"/>
  <c r="F69" i="14"/>
  <c r="C73" i="18" l="1"/>
  <c r="I74" i="18"/>
  <c r="G69" i="14"/>
  <c r="H69" i="14"/>
  <c r="E71" i="14"/>
  <c r="F70" i="14"/>
  <c r="C74" i="18" l="1"/>
  <c r="I75" i="18"/>
  <c r="E72" i="14"/>
  <c r="F71" i="14"/>
  <c r="G70" i="14"/>
  <c r="H70" i="14"/>
  <c r="C75" i="18" l="1"/>
  <c r="I76" i="18"/>
  <c r="H71" i="14"/>
  <c r="G71" i="14"/>
  <c r="E73" i="14"/>
  <c r="F72" i="14"/>
  <c r="C76" i="18" l="1"/>
  <c r="I77" i="18"/>
  <c r="G72" i="14"/>
  <c r="H72" i="14"/>
  <c r="E74" i="14"/>
  <c r="F73" i="14"/>
  <c r="C77" i="18" l="1"/>
  <c r="I78" i="18"/>
  <c r="H73" i="14"/>
  <c r="G73" i="14"/>
  <c r="E75" i="14"/>
  <c r="F74" i="14"/>
  <c r="C78" i="18" l="1"/>
  <c r="I79" i="18"/>
  <c r="G74" i="14"/>
  <c r="H74" i="14"/>
  <c r="E76" i="14"/>
  <c r="F75" i="14"/>
  <c r="C79" i="18" l="1"/>
  <c r="I80" i="18"/>
  <c r="E77" i="14"/>
  <c r="F76" i="14"/>
  <c r="H75" i="14"/>
  <c r="G75" i="14"/>
  <c r="C80" i="18" l="1"/>
  <c r="I81" i="18"/>
  <c r="G76" i="14"/>
  <c r="H76" i="14"/>
  <c r="E78" i="14"/>
  <c r="F77" i="14"/>
  <c r="C81" i="18" l="1"/>
  <c r="I82" i="18"/>
  <c r="H77" i="14"/>
  <c r="G77" i="14"/>
  <c r="E79" i="14"/>
  <c r="F78" i="14"/>
  <c r="C82" i="18" l="1"/>
  <c r="I83" i="18"/>
  <c r="E80" i="14"/>
  <c r="F79" i="14"/>
  <c r="H78" i="14"/>
  <c r="G78" i="14"/>
  <c r="C83" i="18" l="1"/>
  <c r="I84" i="18"/>
  <c r="G79" i="14"/>
  <c r="H79" i="14"/>
  <c r="E81" i="14"/>
  <c r="F80" i="14"/>
  <c r="C84" i="18" l="1"/>
  <c r="I85" i="18"/>
  <c r="G80" i="14"/>
  <c r="H80" i="14"/>
  <c r="E82" i="14"/>
  <c r="F81" i="14"/>
  <c r="C85" i="18" l="1"/>
  <c r="I86" i="18"/>
  <c r="G81" i="14"/>
  <c r="H81" i="14"/>
  <c r="E83" i="14"/>
  <c r="F82" i="14"/>
  <c r="C86" i="18" l="1"/>
  <c r="I87" i="18"/>
  <c r="H82" i="14"/>
  <c r="G82" i="14"/>
  <c r="E84" i="14"/>
  <c r="F83" i="14"/>
  <c r="C87" i="18" l="1"/>
  <c r="I88" i="18"/>
  <c r="G83" i="14"/>
  <c r="H83" i="14"/>
  <c r="E85" i="14"/>
  <c r="F84" i="14"/>
  <c r="C88" i="18" l="1"/>
  <c r="I89" i="18"/>
  <c r="G84" i="14"/>
  <c r="H84" i="14"/>
  <c r="E86" i="14"/>
  <c r="F85" i="14"/>
  <c r="C89" i="18" l="1"/>
  <c r="I90" i="18"/>
  <c r="G85" i="14"/>
  <c r="H85" i="14"/>
  <c r="E87" i="14"/>
  <c r="F86" i="14"/>
  <c r="C90" i="18" l="1"/>
  <c r="I91" i="18"/>
  <c r="G86" i="14"/>
  <c r="H86" i="14"/>
  <c r="E88" i="14"/>
  <c r="F87" i="14"/>
  <c r="C91" i="18" l="1"/>
  <c r="I92" i="18"/>
  <c r="H87" i="14"/>
  <c r="G87" i="14"/>
  <c r="E89" i="14"/>
  <c r="F88" i="14"/>
  <c r="C92" i="18" l="1"/>
  <c r="I93" i="18"/>
  <c r="H88" i="14"/>
  <c r="G88" i="14"/>
  <c r="E90" i="14"/>
  <c r="F89" i="14"/>
  <c r="C93" i="18" l="1"/>
  <c r="I94" i="18"/>
  <c r="G89" i="14"/>
  <c r="H89" i="14"/>
  <c r="E91" i="14"/>
  <c r="F90" i="14"/>
  <c r="C94" i="18" l="1"/>
  <c r="I95" i="18"/>
  <c r="G90" i="14"/>
  <c r="H90" i="14"/>
  <c r="E92" i="14"/>
  <c r="F91" i="14"/>
  <c r="C95" i="18" l="1"/>
  <c r="I96" i="18"/>
  <c r="H91" i="14"/>
  <c r="G91" i="14"/>
  <c r="E93" i="14"/>
  <c r="F92" i="14"/>
  <c r="C96" i="18" l="1"/>
  <c r="I97" i="18"/>
  <c r="H92" i="14"/>
  <c r="G92" i="14"/>
  <c r="E94" i="14"/>
  <c r="F93" i="14"/>
  <c r="C97" i="18" l="1"/>
  <c r="I98" i="18"/>
  <c r="G93" i="14"/>
  <c r="H93" i="14"/>
  <c r="E95" i="14"/>
  <c r="F94" i="14"/>
  <c r="C98" i="18" l="1"/>
  <c r="I99" i="18"/>
  <c r="G94" i="14"/>
  <c r="H94" i="14"/>
  <c r="E96" i="14"/>
  <c r="F95" i="14"/>
  <c r="C99" i="18" l="1"/>
  <c r="I100" i="18"/>
  <c r="H95" i="14"/>
  <c r="G95" i="14"/>
  <c r="E97" i="14"/>
  <c r="F96" i="14"/>
  <c r="C100" i="18" l="1"/>
  <c r="I101" i="18"/>
  <c r="H96" i="14"/>
  <c r="G96" i="14"/>
  <c r="E98" i="14"/>
  <c r="F97" i="14"/>
  <c r="I102" i="18" l="1"/>
  <c r="C101" i="18"/>
  <c r="G97" i="14"/>
  <c r="H97" i="14"/>
  <c r="E99" i="14"/>
  <c r="F98" i="14"/>
  <c r="K2" i="18" l="1"/>
  <c r="K5" i="18"/>
  <c r="K13" i="18"/>
  <c r="K21" i="18"/>
  <c r="K29" i="18"/>
  <c r="K37" i="18"/>
  <c r="K45" i="18"/>
  <c r="K53" i="18"/>
  <c r="K61" i="18"/>
  <c r="K69" i="18"/>
  <c r="K77" i="18"/>
  <c r="K85" i="18"/>
  <c r="K93" i="18"/>
  <c r="K101" i="18"/>
  <c r="K7" i="18"/>
  <c r="K23" i="18"/>
  <c r="K31" i="18"/>
  <c r="K39" i="18"/>
  <c r="K47" i="18"/>
  <c r="K55" i="18"/>
  <c r="K71" i="18"/>
  <c r="K87" i="18"/>
  <c r="K8" i="18"/>
  <c r="K24" i="18"/>
  <c r="K32" i="18"/>
  <c r="K40" i="18"/>
  <c r="K48" i="18"/>
  <c r="K64" i="18"/>
  <c r="K72" i="18"/>
  <c r="K88" i="18"/>
  <c r="K6" i="18"/>
  <c r="K14" i="18"/>
  <c r="K22" i="18"/>
  <c r="K30" i="18"/>
  <c r="K38" i="18"/>
  <c r="K46" i="18"/>
  <c r="K54" i="18"/>
  <c r="K62" i="18"/>
  <c r="K70" i="18"/>
  <c r="K78" i="18"/>
  <c r="K86" i="18"/>
  <c r="K94" i="18"/>
  <c r="K102" i="18"/>
  <c r="K15" i="18"/>
  <c r="K63" i="18"/>
  <c r="K79" i="18"/>
  <c r="K95" i="18"/>
  <c r="K16" i="18"/>
  <c r="K56" i="18"/>
  <c r="K80" i="18"/>
  <c r="K96" i="18"/>
  <c r="K67" i="18"/>
  <c r="K91" i="18"/>
  <c r="K4" i="18"/>
  <c r="K28" i="18"/>
  <c r="K52" i="18"/>
  <c r="K76" i="18"/>
  <c r="K100" i="18"/>
  <c r="K9" i="18"/>
  <c r="K17" i="18"/>
  <c r="K25" i="18"/>
  <c r="K33" i="18"/>
  <c r="K41" i="18"/>
  <c r="K49" i="18"/>
  <c r="K57" i="18"/>
  <c r="K65" i="18"/>
  <c r="K73" i="18"/>
  <c r="K81" i="18"/>
  <c r="K89" i="18"/>
  <c r="K97" i="18"/>
  <c r="K10" i="18"/>
  <c r="K18" i="18"/>
  <c r="K26" i="18"/>
  <c r="K34" i="18"/>
  <c r="K42" i="18"/>
  <c r="K50" i="18"/>
  <c r="K58" i="18"/>
  <c r="K66" i="18"/>
  <c r="K74" i="18"/>
  <c r="K82" i="18"/>
  <c r="K90" i="18"/>
  <c r="K98" i="18"/>
  <c r="K3" i="18"/>
  <c r="K11" i="18"/>
  <c r="K19" i="18"/>
  <c r="K27" i="18"/>
  <c r="K35" i="18"/>
  <c r="K43" i="18"/>
  <c r="K51" i="18"/>
  <c r="K59" i="18"/>
  <c r="K75" i="18"/>
  <c r="K83" i="18"/>
  <c r="K99" i="18"/>
  <c r="K12" i="18"/>
  <c r="K20" i="18"/>
  <c r="K36" i="18"/>
  <c r="K44" i="18"/>
  <c r="K60" i="18"/>
  <c r="K68" i="18"/>
  <c r="K84" i="18"/>
  <c r="K92" i="18"/>
  <c r="C102" i="18"/>
  <c r="F99" i="14"/>
  <c r="G99" i="14" s="1"/>
  <c r="E100" i="14"/>
  <c r="F100" i="14" s="1"/>
  <c r="G98" i="14"/>
  <c r="H98" i="14"/>
  <c r="AB9" i="1" l="1"/>
  <c r="B5" i="15" s="1"/>
  <c r="B6" i="15" s="1"/>
  <c r="B7" i="15" s="1"/>
  <c r="H99" i="14"/>
  <c r="H100" i="14"/>
  <c r="G100" i="14"/>
  <c r="D43" i="18" a="1"/>
  <c r="D93" i="18" a="1"/>
  <c r="D15" i="18" a="1"/>
  <c r="D30" i="18" a="1"/>
  <c r="D48" i="18" a="1"/>
  <c r="D89" i="18" a="1"/>
  <c r="D62" i="18" a="1"/>
  <c r="D84" i="18" a="1"/>
  <c r="D32" i="18" a="1"/>
  <c r="D99" i="18" a="1"/>
  <c r="D67" i="18" a="1"/>
  <c r="J52" i="18" a="1"/>
  <c r="J63" i="18" a="1"/>
  <c r="J77" i="18" a="1"/>
  <c r="J70" i="18" a="1"/>
  <c r="L33" i="1" a="1"/>
  <c r="D100" i="18" a="1"/>
  <c r="D31" i="18" a="1"/>
  <c r="D38" i="18" a="1"/>
  <c r="D72" i="18" a="1"/>
  <c r="D94" i="18" a="1"/>
  <c r="L41" i="1" a="1"/>
  <c r="D97" i="18" a="1"/>
  <c r="D37" i="18" a="1"/>
  <c r="D91" i="18" a="1"/>
  <c r="D79" i="18" a="1"/>
  <c r="D42" i="18" a="1"/>
  <c r="D60" i="18" a="1"/>
  <c r="J25" i="18" a="1"/>
  <c r="J81" i="18" a="1"/>
  <c r="J9" i="18" a="1"/>
  <c r="J92" i="18" a="1"/>
  <c r="J21" i="18" a="1"/>
  <c r="J12" i="18" a="1"/>
  <c r="J40" i="18" a="1"/>
  <c r="J93" i="18" a="1"/>
  <c r="J85" i="18" a="1"/>
  <c r="J13" i="18" a="1"/>
  <c r="J28" i="18" a="1"/>
  <c r="J18" i="18" a="1"/>
  <c r="J82" i="18" a="1"/>
  <c r="D5" i="18" a="1"/>
  <c r="D2" i="18" a="1"/>
  <c r="D44" i="18" a="1"/>
  <c r="D65" i="18" a="1"/>
  <c r="D16" i="18" a="1"/>
  <c r="D85" i="18" a="1"/>
  <c r="D27" i="18" a="1"/>
  <c r="AB12" i="1" a="1"/>
  <c r="D11" i="18" a="1"/>
  <c r="D56" i="18" a="1"/>
  <c r="J48" i="18" a="1"/>
  <c r="J54" i="18" a="1"/>
  <c r="J78" i="18" a="1"/>
  <c r="J37" i="18" a="1"/>
  <c r="J32" i="18" a="1"/>
  <c r="J102" i="18" a="1"/>
  <c r="J65" i="18" a="1"/>
  <c r="J86" i="18" a="1"/>
  <c r="J36" i="18" a="1"/>
  <c r="D66" i="18" a="1"/>
  <c r="D46" i="18" a="1"/>
  <c r="D92" i="18" a="1"/>
  <c r="J47" i="18" a="1"/>
  <c r="J35" i="18" a="1"/>
  <c r="J16" i="18" a="1"/>
  <c r="J66" i="18" a="1"/>
  <c r="J57" i="18" a="1"/>
  <c r="J101" i="18" a="1"/>
  <c r="J90" i="18" a="1"/>
  <c r="J38" i="18" a="1"/>
  <c r="J2" i="18" a="1"/>
  <c r="J64" i="18" a="1"/>
  <c r="D76" i="18" a="1"/>
  <c r="D24" i="18" a="1"/>
  <c r="D13" i="18" a="1"/>
  <c r="D88" i="18" a="1"/>
  <c r="L37" i="1" a="1"/>
  <c r="D34" i="18" a="1"/>
  <c r="D41" i="18" a="1"/>
  <c r="D47" i="18" a="1"/>
  <c r="D40" i="18" a="1"/>
  <c r="D98" i="18" a="1"/>
  <c r="D28" i="18" a="1"/>
  <c r="D33" i="18" a="1"/>
  <c r="D80" i="18" a="1"/>
  <c r="J33" i="18" a="1"/>
  <c r="J74" i="18" a="1"/>
  <c r="J20" i="18" a="1"/>
  <c r="J7" i="18" a="1"/>
  <c r="J56" i="18" a="1"/>
  <c r="J46" i="18" a="1"/>
  <c r="J91" i="18" a="1"/>
  <c r="J100" i="18" a="1"/>
  <c r="J61" i="18" a="1"/>
  <c r="J76" i="18" a="1"/>
  <c r="J75" i="18" a="1"/>
  <c r="J97" i="18" a="1"/>
  <c r="J87" i="18" a="1"/>
  <c r="D12" i="18" a="1"/>
  <c r="D50" i="18" a="1"/>
  <c r="D49" i="18" a="1"/>
  <c r="D36" i="18" a="1"/>
  <c r="D58" i="18" a="1"/>
  <c r="D77" i="18" a="1"/>
  <c r="D102" i="18" a="1"/>
  <c r="L39" i="1" a="1"/>
  <c r="D70" i="18" a="1"/>
  <c r="D73" i="18" a="1"/>
  <c r="D26" i="18" a="1"/>
  <c r="D68" i="18" a="1"/>
  <c r="D18" i="18" a="1"/>
  <c r="D35" i="18" a="1"/>
  <c r="J5" i="18" a="1"/>
  <c r="J95" i="18" a="1"/>
  <c r="J11" i="18" a="1"/>
  <c r="J41" i="18" a="1"/>
  <c r="J24" i="18" a="1"/>
  <c r="J3" i="18" a="1"/>
  <c r="J30" i="18" a="1"/>
  <c r="J42" i="18" a="1"/>
  <c r="D81" i="18" a="1"/>
  <c r="D19" i="18" a="1"/>
  <c r="D54" i="18" a="1"/>
  <c r="D83" i="18" a="1"/>
  <c r="D7" i="18" a="1"/>
  <c r="D101" i="18" a="1"/>
  <c r="D51" i="18" a="1"/>
  <c r="D9" i="18" a="1"/>
  <c r="D45" i="18" a="1"/>
  <c r="D78" i="18" a="1"/>
  <c r="D4" i="18" a="1"/>
  <c r="D75" i="18" a="1"/>
  <c r="D74" i="18" a="1"/>
  <c r="D63" i="18" a="1"/>
  <c r="J68" i="18" a="1"/>
  <c r="J67" i="18" a="1"/>
  <c r="J27" i="18" a="1"/>
  <c r="J79" i="18" a="1"/>
  <c r="J17" i="18" a="1"/>
  <c r="J29" i="18" a="1"/>
  <c r="J53" i="18" a="1"/>
  <c r="J72" i="18" a="1"/>
  <c r="J50" i="18" a="1"/>
  <c r="J39" i="18" a="1"/>
  <c r="J45" i="18" a="1"/>
  <c r="J62" i="18" a="1"/>
  <c r="D29" i="18" a="1"/>
  <c r="D25" i="18" a="1"/>
  <c r="D64" i="18" a="1"/>
  <c r="D57" i="18" a="1"/>
  <c r="D82" i="18" a="1"/>
  <c r="D96" i="18" a="1"/>
  <c r="D53" i="18" a="1"/>
  <c r="J19" i="18" a="1"/>
  <c r="J99" i="18" a="1"/>
  <c r="J60" i="18" a="1"/>
  <c r="J88" i="18" a="1"/>
  <c r="J23" i="18" a="1"/>
  <c r="J51" i="18" a="1"/>
  <c r="D59" i="18" a="1"/>
  <c r="J96" i="18" a="1"/>
  <c r="J6" i="18" a="1"/>
  <c r="J83" i="18" a="1"/>
  <c r="J10" i="18" a="1"/>
  <c r="D86" i="18" a="1"/>
  <c r="D39" i="18" a="1"/>
  <c r="D87" i="18" a="1"/>
  <c r="D10" i="18" a="1"/>
  <c r="D8" i="18" a="1"/>
  <c r="D20" i="18" a="1"/>
  <c r="D71" i="18" a="1"/>
  <c r="D14" i="18" a="1"/>
  <c r="D3" i="18" a="1"/>
  <c r="D69" i="18" a="1"/>
  <c r="D52" i="18" a="1"/>
  <c r="D95" i="18" a="1"/>
  <c r="D6" i="18" a="1"/>
  <c r="D90" i="18" a="1"/>
  <c r="J94" i="18" a="1"/>
  <c r="J31" i="18" a="1"/>
  <c r="J80" i="18" a="1"/>
  <c r="J34" i="18" a="1"/>
  <c r="J14" i="18" a="1"/>
  <c r="J71" i="18" a="1"/>
  <c r="J84" i="18" a="1"/>
  <c r="J98" i="18" a="1"/>
  <c r="J26" i="18" a="1"/>
  <c r="J89" i="18" a="1"/>
  <c r="J69" i="18" a="1"/>
  <c r="J58" i="18" a="1"/>
  <c r="D23" i="18" a="1"/>
  <c r="D61" i="18" a="1"/>
  <c r="L35" i="1" a="1"/>
  <c r="D55" i="18" a="1"/>
  <c r="D21" i="18" a="1"/>
  <c r="D17" i="18" a="1"/>
  <c r="J55" i="18" a="1"/>
  <c r="J22" i="18" a="1"/>
  <c r="J43" i="18" a="1"/>
  <c r="J15" i="18" a="1"/>
  <c r="J44" i="18" a="1"/>
  <c r="J59" i="18" a="1"/>
  <c r="J49" i="18" a="1"/>
  <c r="D22" i="18" a="1"/>
  <c r="J4" i="18" a="1"/>
  <c r="J73" i="18" a="1"/>
  <c r="J8" i="18" a="1"/>
  <c r="D96" i="18" l="1"/>
  <c r="D88" i="18"/>
  <c r="D80" i="18"/>
  <c r="D72" i="18"/>
  <c r="D64" i="18"/>
  <c r="D56" i="18"/>
  <c r="D48" i="18"/>
  <c r="D40" i="18"/>
  <c r="D32" i="18"/>
  <c r="D24" i="18"/>
  <c r="D16" i="18"/>
  <c r="AB12" i="1"/>
  <c r="D10" i="18"/>
  <c r="D95" i="18"/>
  <c r="D87" i="18"/>
  <c r="D79" i="18"/>
  <c r="D71" i="18"/>
  <c r="D63" i="18"/>
  <c r="D55" i="18"/>
  <c r="D47" i="18"/>
  <c r="D39" i="18"/>
  <c r="D31" i="18"/>
  <c r="D23" i="18"/>
  <c r="D15" i="18"/>
  <c r="D7" i="18"/>
  <c r="D74" i="18"/>
  <c r="D42" i="18"/>
  <c r="D94" i="18"/>
  <c r="D86" i="18"/>
  <c r="D78" i="18"/>
  <c r="D70" i="18"/>
  <c r="D62" i="18"/>
  <c r="D54" i="18"/>
  <c r="D46" i="18"/>
  <c r="D38" i="18"/>
  <c r="D30" i="18"/>
  <c r="D22" i="18"/>
  <c r="D14" i="18"/>
  <c r="D6" i="18"/>
  <c r="L35" i="1"/>
  <c r="D90" i="18"/>
  <c r="D26" i="18"/>
  <c r="D101" i="18"/>
  <c r="D93" i="18"/>
  <c r="D85" i="18"/>
  <c r="D77" i="18"/>
  <c r="D69" i="18"/>
  <c r="D61" i="18"/>
  <c r="D53" i="18"/>
  <c r="D45" i="18"/>
  <c r="D37" i="18"/>
  <c r="D29" i="18"/>
  <c r="D21" i="18"/>
  <c r="D13" i="18"/>
  <c r="D5" i="18"/>
  <c r="L37" i="1"/>
  <c r="D66" i="18"/>
  <c r="D34" i="18"/>
  <c r="D100" i="18"/>
  <c r="D92" i="18"/>
  <c r="D84" i="18"/>
  <c r="D76" i="18"/>
  <c r="D68" i="18"/>
  <c r="D60" i="18"/>
  <c r="D52" i="18"/>
  <c r="D44" i="18"/>
  <c r="D36" i="18"/>
  <c r="D28" i="18"/>
  <c r="D20" i="18"/>
  <c r="D12" i="18"/>
  <c r="D4" i="18"/>
  <c r="L39" i="1"/>
  <c r="D82" i="18"/>
  <c r="D2" i="18"/>
  <c r="D99" i="18"/>
  <c r="D91" i="18"/>
  <c r="D83" i="18"/>
  <c r="D75" i="18"/>
  <c r="D67" i="18"/>
  <c r="D59" i="18"/>
  <c r="D51" i="18"/>
  <c r="D43" i="18"/>
  <c r="D35" i="18"/>
  <c r="D27" i="18"/>
  <c r="D19" i="18"/>
  <c r="D11" i="18"/>
  <c r="D3" i="18"/>
  <c r="L41" i="1"/>
  <c r="D58" i="18"/>
  <c r="D18" i="18"/>
  <c r="D97" i="18"/>
  <c r="D89" i="18"/>
  <c r="D81" i="18"/>
  <c r="D73" i="18"/>
  <c r="D65" i="18"/>
  <c r="D57" i="18"/>
  <c r="D49" i="18"/>
  <c r="D41" i="18"/>
  <c r="D33" i="18"/>
  <c r="D25" i="18"/>
  <c r="D17" i="18"/>
  <c r="D9" i="18"/>
  <c r="D102" i="18"/>
  <c r="D8" i="18"/>
  <c r="L33" i="1"/>
  <c r="D98" i="18"/>
  <c r="D50" i="18"/>
  <c r="J95" i="18"/>
  <c r="J99" i="18"/>
  <c r="J2" i="18"/>
  <c r="J98" i="18"/>
  <c r="J94" i="18"/>
  <c r="J90" i="18"/>
  <c r="J86" i="18"/>
  <c r="J82" i="18"/>
  <c r="J78" i="18"/>
  <c r="J74" i="18"/>
  <c r="J70" i="18"/>
  <c r="J66" i="18"/>
  <c r="J62" i="18"/>
  <c r="J58" i="18"/>
  <c r="J54" i="18"/>
  <c r="J50" i="18"/>
  <c r="J46" i="18"/>
  <c r="J42" i="18"/>
  <c r="J38" i="18"/>
  <c r="J34" i="18"/>
  <c r="J30" i="18"/>
  <c r="J26" i="18"/>
  <c r="J22" i="18"/>
  <c r="J18" i="18"/>
  <c r="J14" i="18"/>
  <c r="J10" i="18"/>
  <c r="J6" i="18"/>
  <c r="J20" i="18"/>
  <c r="J8" i="18"/>
  <c r="J4" i="18"/>
  <c r="J83" i="18"/>
  <c r="J59" i="18"/>
  <c r="J47" i="18"/>
  <c r="J39" i="18"/>
  <c r="J27" i="18"/>
  <c r="J19" i="18"/>
  <c r="J3" i="18"/>
  <c r="J102" i="18"/>
  <c r="J97" i="18"/>
  <c r="J93" i="18"/>
  <c r="J89" i="18"/>
  <c r="J85" i="18"/>
  <c r="J81" i="18"/>
  <c r="J77" i="18"/>
  <c r="J73" i="18"/>
  <c r="J69" i="18"/>
  <c r="J65" i="18"/>
  <c r="J61" i="18"/>
  <c r="J57" i="18"/>
  <c r="J53" i="18"/>
  <c r="J49" i="18"/>
  <c r="J45" i="18"/>
  <c r="J41" i="18"/>
  <c r="J37" i="18"/>
  <c r="J33" i="18"/>
  <c r="J29" i="18"/>
  <c r="J25" i="18"/>
  <c r="J21" i="18"/>
  <c r="J17" i="18"/>
  <c r="J13" i="18"/>
  <c r="J9" i="18"/>
  <c r="J5" i="18"/>
  <c r="J92" i="18"/>
  <c r="J88" i="18"/>
  <c r="J84" i="18"/>
  <c r="J80" i="18"/>
  <c r="J76" i="18"/>
  <c r="J72" i="18"/>
  <c r="J68" i="18"/>
  <c r="J64" i="18"/>
  <c r="J60" i="18"/>
  <c r="J56" i="18"/>
  <c r="J52" i="18"/>
  <c r="J48" i="18"/>
  <c r="J44" i="18"/>
  <c r="J40" i="18"/>
  <c r="J36" i="18"/>
  <c r="J32" i="18"/>
  <c r="J28" i="18"/>
  <c r="J24" i="18"/>
  <c r="J16" i="18"/>
  <c r="J12" i="18"/>
  <c r="J91" i="18"/>
  <c r="J79" i="18"/>
  <c r="J75" i="18"/>
  <c r="J71" i="18"/>
  <c r="J67" i="18"/>
  <c r="J63" i="18"/>
  <c r="J55" i="18"/>
  <c r="J51" i="18"/>
  <c r="J43" i="18"/>
  <c r="J35" i="18"/>
  <c r="J23" i="18"/>
  <c r="J15" i="18"/>
  <c r="J7" i="18"/>
  <c r="J101" i="18"/>
  <c r="J87" i="18"/>
  <c r="J31" i="18"/>
  <c r="J11" i="18"/>
  <c r="J96" i="18"/>
  <c r="J100" i="18"/>
  <c r="W33" i="1"/>
  <c r="AE36" i="1"/>
  <c r="E18" i="15"/>
  <c r="F18" i="15" s="1"/>
  <c r="G18" i="15" s="1"/>
  <c r="E153" i="15"/>
  <c r="F153" i="15" s="1"/>
  <c r="G153" i="15" s="1"/>
  <c r="E86" i="15"/>
  <c r="F86" i="15" s="1"/>
  <c r="G86" i="15" s="1"/>
  <c r="E108" i="15"/>
  <c r="F108" i="15" s="1"/>
  <c r="G108" i="15" s="1"/>
  <c r="E74" i="15"/>
  <c r="F74" i="15" s="1"/>
  <c r="G74" i="15" s="1"/>
  <c r="E15" i="15"/>
  <c r="F15" i="15" s="1"/>
  <c r="G15" i="15" s="1"/>
  <c r="E29" i="15"/>
  <c r="F29" i="15" s="1"/>
  <c r="G29" i="15" s="1"/>
  <c r="E130" i="15"/>
  <c r="F130" i="15" s="1"/>
  <c r="G130" i="15" s="1"/>
  <c r="E191" i="15"/>
  <c r="F191" i="15" s="1"/>
  <c r="G191" i="15" s="1"/>
  <c r="E85" i="15"/>
  <c r="F85" i="15" s="1"/>
  <c r="G85" i="15" s="1"/>
  <c r="E186" i="15"/>
  <c r="F186" i="15" s="1"/>
  <c r="G186" i="15" s="1"/>
  <c r="E56" i="15"/>
  <c r="F56" i="15" s="1"/>
  <c r="G56" i="15" s="1"/>
  <c r="E141" i="15"/>
  <c r="F141" i="15" s="1"/>
  <c r="G141" i="15" s="1"/>
  <c r="E178" i="15"/>
  <c r="F178" i="15" s="1"/>
  <c r="G178" i="15" s="1"/>
  <c r="E48" i="15"/>
  <c r="F48" i="15" s="1"/>
  <c r="G48" i="15" s="1"/>
  <c r="E133" i="15"/>
  <c r="F133" i="15" s="1"/>
  <c r="G133" i="15" s="1"/>
  <c r="E75" i="15"/>
  <c r="F75" i="15" s="1"/>
  <c r="G75" i="15" s="1"/>
  <c r="E120" i="15"/>
  <c r="F120" i="15" s="1"/>
  <c r="G120" i="15" s="1"/>
  <c r="E189" i="15"/>
  <c r="F189" i="15" s="1"/>
  <c r="G189" i="15" s="1"/>
  <c r="E179" i="15"/>
  <c r="F179" i="15" s="1"/>
  <c r="G179" i="15" s="1"/>
  <c r="E176" i="15"/>
  <c r="F176" i="15" s="1"/>
  <c r="G176" i="15" s="1"/>
  <c r="E55" i="15"/>
  <c r="F55" i="15" s="1"/>
  <c r="G55" i="15" s="1"/>
  <c r="E67" i="15"/>
  <c r="F67" i="15" s="1"/>
  <c r="G67" i="15" s="1"/>
  <c r="E33" i="15"/>
  <c r="F33" i="15" s="1"/>
  <c r="G33" i="15" s="1"/>
  <c r="E151" i="15"/>
  <c r="F151" i="15" s="1"/>
  <c r="G151" i="15" s="1"/>
  <c r="E187" i="15"/>
  <c r="F187" i="15" s="1"/>
  <c r="G187" i="15" s="1"/>
  <c r="E64" i="15"/>
  <c r="F64" i="15" s="1"/>
  <c r="G64" i="15" s="1"/>
  <c r="E107" i="15"/>
  <c r="F107" i="15" s="1"/>
  <c r="G107" i="15" s="1"/>
  <c r="E197" i="15"/>
  <c r="F197" i="15" s="1"/>
  <c r="G197" i="15" s="1"/>
  <c r="E159" i="15"/>
  <c r="F159" i="15" s="1"/>
  <c r="G159" i="15" s="1"/>
  <c r="E11" i="15"/>
  <c r="F11" i="15" s="1"/>
  <c r="G11" i="15" s="1"/>
  <c r="E89" i="15"/>
  <c r="F89" i="15" s="1"/>
  <c r="G89" i="15" s="1"/>
  <c r="E22" i="15"/>
  <c r="F22" i="15" s="1"/>
  <c r="G22" i="15" s="1"/>
  <c r="E44" i="15"/>
  <c r="F44" i="15" s="1"/>
  <c r="G44" i="15" s="1"/>
  <c r="E10" i="15"/>
  <c r="F10" i="15" s="1"/>
  <c r="G10" i="15" s="1"/>
  <c r="E142" i="15"/>
  <c r="F142" i="15" s="1"/>
  <c r="G142" i="15" s="1"/>
  <c r="E164" i="15"/>
  <c r="F164" i="15" s="1"/>
  <c r="G164" i="15" s="1"/>
  <c r="E66" i="15"/>
  <c r="F66" i="15" s="1"/>
  <c r="G66" i="15" s="1"/>
  <c r="E198" i="15"/>
  <c r="F198" i="15" s="1"/>
  <c r="G198" i="15" s="1"/>
  <c r="E21" i="15"/>
  <c r="F21" i="15" s="1"/>
  <c r="G21" i="15" s="1"/>
  <c r="E122" i="15"/>
  <c r="F122" i="15" s="1"/>
  <c r="G122" i="15" s="1"/>
  <c r="E167" i="15"/>
  <c r="F167" i="15" s="1"/>
  <c r="G167" i="15" s="1"/>
  <c r="E77" i="15"/>
  <c r="F77" i="15" s="1"/>
  <c r="G77" i="15" s="1"/>
  <c r="E114" i="15"/>
  <c r="F114" i="15" s="1"/>
  <c r="G114" i="15" s="1"/>
  <c r="E143" i="15"/>
  <c r="F143" i="15" s="1"/>
  <c r="G143" i="15" s="1"/>
  <c r="E69" i="15"/>
  <c r="F69" i="15" s="1"/>
  <c r="G69" i="15" s="1"/>
  <c r="E170" i="15"/>
  <c r="F170" i="15" s="1"/>
  <c r="G170" i="15" s="1"/>
  <c r="E40" i="15"/>
  <c r="F40" i="15" s="1"/>
  <c r="G40" i="15" s="1"/>
  <c r="E125" i="15"/>
  <c r="F125" i="15" s="1"/>
  <c r="G125" i="15" s="1"/>
  <c r="E59" i="15"/>
  <c r="F59" i="15" s="1"/>
  <c r="G59" i="15" s="1"/>
  <c r="E96" i="15"/>
  <c r="F96" i="15" s="1"/>
  <c r="G96" i="15" s="1"/>
  <c r="E181" i="15"/>
  <c r="F181" i="15" s="1"/>
  <c r="G181" i="15" s="1"/>
  <c r="E163" i="15"/>
  <c r="F163" i="15" s="1"/>
  <c r="G163" i="15" s="1"/>
  <c r="E168" i="15"/>
  <c r="F168" i="15" s="1"/>
  <c r="G168" i="15" s="1"/>
  <c r="E47" i="15"/>
  <c r="F47" i="15" s="1"/>
  <c r="G47" i="15" s="1"/>
  <c r="E51" i="15"/>
  <c r="F51" i="15" s="1"/>
  <c r="G51" i="15" s="1"/>
  <c r="E93" i="15"/>
  <c r="F93" i="15" s="1"/>
  <c r="G93" i="15" s="1"/>
  <c r="E7" i="15"/>
  <c r="F7" i="15" s="1"/>
  <c r="G7" i="15" s="1"/>
  <c r="E63" i="15"/>
  <c r="F63" i="15" s="1"/>
  <c r="G63" i="15" s="1"/>
  <c r="E30" i="15"/>
  <c r="F30" i="15" s="1"/>
  <c r="G30" i="15" s="1"/>
  <c r="E104" i="15"/>
  <c r="F104" i="15" s="1"/>
  <c r="G104" i="15" s="1"/>
  <c r="E25" i="15"/>
  <c r="F25" i="15" s="1"/>
  <c r="G25" i="15" s="1"/>
  <c r="E135" i="15"/>
  <c r="F135" i="15" s="1"/>
  <c r="G135" i="15" s="1"/>
  <c r="E171" i="15"/>
  <c r="F171" i="15" s="1"/>
  <c r="G171" i="15" s="1"/>
  <c r="E145" i="15"/>
  <c r="F145" i="15" s="1"/>
  <c r="G145" i="15" s="1"/>
  <c r="E78" i="15"/>
  <c r="F78" i="15" s="1"/>
  <c r="G78" i="15" s="1"/>
  <c r="E100" i="15"/>
  <c r="F100" i="15" s="1"/>
  <c r="G100" i="15" s="1"/>
  <c r="E201" i="15"/>
  <c r="F201" i="15" s="1"/>
  <c r="G201" i="15" s="1"/>
  <c r="E134" i="15"/>
  <c r="F134" i="15" s="1"/>
  <c r="G134" i="15" s="1"/>
  <c r="E156" i="15"/>
  <c r="F156" i="15" s="1"/>
  <c r="G156" i="15" s="1"/>
  <c r="E58" i="15"/>
  <c r="F58" i="15" s="1"/>
  <c r="G58" i="15" s="1"/>
  <c r="E190" i="15"/>
  <c r="F190" i="15" s="1"/>
  <c r="G190" i="15" s="1"/>
  <c r="E13" i="15"/>
  <c r="F13" i="15" s="1"/>
  <c r="G13" i="15" s="1"/>
  <c r="E50" i="15"/>
  <c r="F50" i="15" s="1"/>
  <c r="G50" i="15" s="1"/>
  <c r="E182" i="15"/>
  <c r="F182" i="15" s="1"/>
  <c r="G182" i="15" s="1"/>
  <c r="E5" i="15"/>
  <c r="F5" i="15" s="1"/>
  <c r="G5" i="15" s="1"/>
  <c r="E106" i="15"/>
  <c r="F106" i="15" s="1"/>
  <c r="G106" i="15" s="1"/>
  <c r="E119" i="15"/>
  <c r="F119" i="15" s="1"/>
  <c r="G119" i="15" s="1"/>
  <c r="E61" i="15"/>
  <c r="F61" i="15" s="1"/>
  <c r="G61" i="15" s="1"/>
  <c r="E162" i="15"/>
  <c r="F162" i="15" s="1"/>
  <c r="G162" i="15" s="1"/>
  <c r="E32" i="15"/>
  <c r="F32" i="15" s="1"/>
  <c r="G32" i="15" s="1"/>
  <c r="E117" i="15"/>
  <c r="F117" i="15" s="1"/>
  <c r="G117" i="15" s="1"/>
  <c r="E35" i="15"/>
  <c r="F35" i="15" s="1"/>
  <c r="G35" i="15" s="1"/>
  <c r="E88" i="15"/>
  <c r="F88" i="15" s="1"/>
  <c r="G88" i="15" s="1"/>
  <c r="E173" i="15"/>
  <c r="F173" i="15" s="1"/>
  <c r="G173" i="15" s="1"/>
  <c r="E194" i="15"/>
  <c r="F194" i="15" s="1"/>
  <c r="G194" i="15" s="1"/>
  <c r="E136" i="15"/>
  <c r="F136" i="15" s="1"/>
  <c r="G136" i="15" s="1"/>
  <c r="E128" i="15"/>
  <c r="F128" i="15" s="1"/>
  <c r="G128" i="15" s="1"/>
  <c r="E41" i="15"/>
  <c r="F41" i="15" s="1"/>
  <c r="G41" i="15" s="1"/>
  <c r="E155" i="15"/>
  <c r="F155" i="15" s="1"/>
  <c r="G155" i="15" s="1"/>
  <c r="E160" i="15"/>
  <c r="F160" i="15" s="1"/>
  <c r="G160" i="15" s="1"/>
  <c r="E39" i="15"/>
  <c r="F39" i="15" s="1"/>
  <c r="G39" i="15" s="1"/>
  <c r="E43" i="15"/>
  <c r="F43" i="15" s="1"/>
  <c r="G43" i="15" s="1"/>
  <c r="E81" i="15"/>
  <c r="F81" i="15" s="1"/>
  <c r="G81" i="15" s="1"/>
  <c r="E14" i="15"/>
  <c r="F14" i="15" s="1"/>
  <c r="G14" i="15" s="1"/>
  <c r="E36" i="15"/>
  <c r="F36" i="15" s="1"/>
  <c r="G36" i="15" s="1"/>
  <c r="E137" i="15"/>
  <c r="F137" i="15" s="1"/>
  <c r="G137" i="15" s="1"/>
  <c r="E70" i="15"/>
  <c r="F70" i="15" s="1"/>
  <c r="G70" i="15" s="1"/>
  <c r="E92" i="15"/>
  <c r="F92" i="15" s="1"/>
  <c r="G92" i="15" s="1"/>
  <c r="E193" i="15"/>
  <c r="F193" i="15" s="1"/>
  <c r="G193" i="15" s="1"/>
  <c r="E126" i="15"/>
  <c r="F126" i="15" s="1"/>
  <c r="G126" i="15" s="1"/>
  <c r="E148" i="15"/>
  <c r="F148" i="15" s="1"/>
  <c r="G148" i="15" s="1"/>
  <c r="E185" i="15"/>
  <c r="F185" i="15" s="1"/>
  <c r="G185" i="15" s="1"/>
  <c r="E118" i="15"/>
  <c r="F118" i="15" s="1"/>
  <c r="G118" i="15" s="1"/>
  <c r="E140" i="15"/>
  <c r="F140" i="15" s="1"/>
  <c r="G140" i="15" s="1"/>
  <c r="E42" i="15"/>
  <c r="F42" i="15" s="1"/>
  <c r="G42" i="15" s="1"/>
  <c r="E174" i="15"/>
  <c r="F174" i="15" s="1"/>
  <c r="G174" i="15" s="1"/>
  <c r="E196" i="15"/>
  <c r="F196" i="15" s="1"/>
  <c r="G196" i="15" s="1"/>
  <c r="E98" i="15"/>
  <c r="F98" i="15" s="1"/>
  <c r="G98" i="15" s="1"/>
  <c r="E103" i="15"/>
  <c r="F103" i="15" s="1"/>
  <c r="G103" i="15" s="1"/>
  <c r="E53" i="15"/>
  <c r="F53" i="15" s="1"/>
  <c r="G53" i="15" s="1"/>
  <c r="E154" i="15"/>
  <c r="F154" i="15" s="1"/>
  <c r="G154" i="15" s="1"/>
  <c r="E24" i="15"/>
  <c r="F24" i="15" s="1"/>
  <c r="G24" i="15" s="1"/>
  <c r="E109" i="15"/>
  <c r="F109" i="15" s="1"/>
  <c r="G109" i="15" s="1"/>
  <c r="E8" i="15"/>
  <c r="F8" i="15" s="1"/>
  <c r="G8" i="15" s="1"/>
  <c r="E149" i="15"/>
  <c r="F149" i="15" s="1"/>
  <c r="G149" i="15" s="1"/>
  <c r="E195" i="15"/>
  <c r="F195" i="15" s="1"/>
  <c r="G195" i="15" s="1"/>
  <c r="E97" i="15"/>
  <c r="F97" i="15" s="1"/>
  <c r="G97" i="15" s="1"/>
  <c r="E3" i="15"/>
  <c r="F3" i="15" s="1"/>
  <c r="G3" i="15" s="1"/>
  <c r="E80" i="15"/>
  <c r="F80" i="15" s="1"/>
  <c r="G80" i="15" s="1"/>
  <c r="E165" i="15"/>
  <c r="F165" i="15" s="1"/>
  <c r="G165" i="15" s="1"/>
  <c r="E112" i="15"/>
  <c r="F112" i="15" s="1"/>
  <c r="G112" i="15" s="1"/>
  <c r="E17" i="15"/>
  <c r="F17" i="15" s="1"/>
  <c r="G17" i="15" s="1"/>
  <c r="E127" i="15"/>
  <c r="F127" i="15" s="1"/>
  <c r="G127" i="15" s="1"/>
  <c r="E147" i="15"/>
  <c r="F147" i="15" s="1"/>
  <c r="G147" i="15" s="1"/>
  <c r="E73" i="15"/>
  <c r="F73" i="15" s="1"/>
  <c r="G73" i="15" s="1"/>
  <c r="E6" i="15"/>
  <c r="F6" i="15" s="1"/>
  <c r="G6" i="15" s="1"/>
  <c r="E28" i="15"/>
  <c r="F28" i="15" s="1"/>
  <c r="G28" i="15" s="1"/>
  <c r="E129" i="15"/>
  <c r="F129" i="15" s="1"/>
  <c r="G129" i="15" s="1"/>
  <c r="E62" i="15"/>
  <c r="F62" i="15" s="1"/>
  <c r="G62" i="15" s="1"/>
  <c r="E84" i="15"/>
  <c r="F84" i="15" s="1"/>
  <c r="G84" i="15" s="1"/>
  <c r="E121" i="15"/>
  <c r="F121" i="15" s="1"/>
  <c r="G121" i="15" s="1"/>
  <c r="E54" i="15"/>
  <c r="F54" i="15" s="1"/>
  <c r="G54" i="15" s="1"/>
  <c r="E76" i="15"/>
  <c r="F76" i="15" s="1"/>
  <c r="G76" i="15" s="1"/>
  <c r="E177" i="15"/>
  <c r="F177" i="15" s="1"/>
  <c r="G177" i="15" s="1"/>
  <c r="E110" i="15"/>
  <c r="F110" i="15" s="1"/>
  <c r="G110" i="15" s="1"/>
  <c r="E132" i="15"/>
  <c r="F132" i="15" s="1"/>
  <c r="G132" i="15" s="1"/>
  <c r="E34" i="15"/>
  <c r="F34" i="15" s="1"/>
  <c r="G34" i="15" s="1"/>
  <c r="E166" i="15"/>
  <c r="F166" i="15" s="1"/>
  <c r="G166" i="15" s="1"/>
  <c r="E188" i="15"/>
  <c r="F188" i="15" s="1"/>
  <c r="G188" i="15" s="1"/>
  <c r="E90" i="15"/>
  <c r="F90" i="15" s="1"/>
  <c r="G90" i="15" s="1"/>
  <c r="E87" i="15"/>
  <c r="F87" i="15" s="1"/>
  <c r="G87" i="15" s="1"/>
  <c r="E45" i="15"/>
  <c r="F45" i="15" s="1"/>
  <c r="G45" i="15" s="1"/>
  <c r="E138" i="15"/>
  <c r="F138" i="15" s="1"/>
  <c r="G138" i="15" s="1"/>
  <c r="E83" i="15"/>
  <c r="F83" i="15" s="1"/>
  <c r="G83" i="15" s="1"/>
  <c r="E146" i="15"/>
  <c r="F146" i="15" s="1"/>
  <c r="G146" i="15" s="1"/>
  <c r="E16" i="15"/>
  <c r="F16" i="15" s="1"/>
  <c r="G16" i="15" s="1"/>
  <c r="E101" i="15"/>
  <c r="F101" i="15" s="1"/>
  <c r="G101" i="15" s="1"/>
  <c r="E139" i="15"/>
  <c r="F139" i="15" s="1"/>
  <c r="G139" i="15" s="1"/>
  <c r="E152" i="15"/>
  <c r="F152" i="15" s="1"/>
  <c r="G152" i="15" s="1"/>
  <c r="E31" i="15"/>
  <c r="F31" i="15" s="1"/>
  <c r="G31" i="15" s="1"/>
  <c r="E27" i="15"/>
  <c r="F27" i="15" s="1"/>
  <c r="G27" i="15" s="1"/>
  <c r="E9" i="15"/>
  <c r="F9" i="15" s="1"/>
  <c r="G9" i="15" s="1"/>
  <c r="E111" i="15"/>
  <c r="F111" i="15" s="1"/>
  <c r="G111" i="15" s="1"/>
  <c r="E131" i="15"/>
  <c r="F131" i="15" s="1"/>
  <c r="G131" i="15" s="1"/>
  <c r="E65" i="15"/>
  <c r="F65" i="15" s="1"/>
  <c r="G65" i="15" s="1"/>
  <c r="E199" i="15"/>
  <c r="F199" i="15" s="1"/>
  <c r="G199" i="15" s="1"/>
  <c r="E20" i="15"/>
  <c r="F20" i="15" s="1"/>
  <c r="G20" i="15" s="1"/>
  <c r="E57" i="15"/>
  <c r="F57" i="15" s="1"/>
  <c r="G57" i="15" s="1"/>
  <c r="E183" i="15"/>
  <c r="F183" i="15" s="1"/>
  <c r="G183" i="15" s="1"/>
  <c r="E12" i="15"/>
  <c r="F12" i="15" s="1"/>
  <c r="G12" i="15" s="1"/>
  <c r="E113" i="15"/>
  <c r="F113" i="15" s="1"/>
  <c r="G113" i="15" s="1"/>
  <c r="E46" i="15"/>
  <c r="F46" i="15" s="1"/>
  <c r="G46" i="15" s="1"/>
  <c r="E68" i="15"/>
  <c r="F68" i="15" s="1"/>
  <c r="G68" i="15" s="1"/>
  <c r="E169" i="15"/>
  <c r="F169" i="15" s="1"/>
  <c r="G169" i="15" s="1"/>
  <c r="E102" i="15"/>
  <c r="F102" i="15" s="1"/>
  <c r="G102" i="15" s="1"/>
  <c r="E124" i="15"/>
  <c r="F124" i="15" s="1"/>
  <c r="G124" i="15" s="1"/>
  <c r="E26" i="15"/>
  <c r="F26" i="15" s="1"/>
  <c r="G26" i="15" s="1"/>
  <c r="E158" i="15"/>
  <c r="F158" i="15" s="1"/>
  <c r="G158" i="15" s="1"/>
  <c r="E180" i="15"/>
  <c r="F180" i="15" s="1"/>
  <c r="G180" i="15" s="1"/>
  <c r="E172" i="15"/>
  <c r="F172" i="15" s="1"/>
  <c r="G172" i="15" s="1"/>
  <c r="E184" i="15"/>
  <c r="F184" i="15" s="1"/>
  <c r="G184" i="15" s="1"/>
  <c r="E52" i="15"/>
  <c r="F52" i="15" s="1"/>
  <c r="G52" i="15" s="1"/>
  <c r="E82" i="15"/>
  <c r="F82" i="15" s="1"/>
  <c r="G82" i="15" s="1"/>
  <c r="E71" i="15"/>
  <c r="F71" i="15" s="1"/>
  <c r="G71" i="15" s="1"/>
  <c r="E37" i="15"/>
  <c r="F37" i="15" s="1"/>
  <c r="G37" i="15" s="1"/>
  <c r="E202" i="15"/>
  <c r="F202" i="15" s="1"/>
  <c r="G202" i="15" s="1"/>
  <c r="E72" i="15"/>
  <c r="F72" i="15" s="1"/>
  <c r="G72" i="15" s="1"/>
  <c r="E157" i="15"/>
  <c r="F157" i="15" s="1"/>
  <c r="G157" i="15" s="1"/>
  <c r="E123" i="15"/>
  <c r="F123" i="15" s="1"/>
  <c r="G123" i="15" s="1"/>
  <c r="E144" i="15"/>
  <c r="F144" i="15" s="1"/>
  <c r="G144" i="15" s="1"/>
  <c r="E23" i="15"/>
  <c r="F23" i="15" s="1"/>
  <c r="G23" i="15" s="1"/>
  <c r="E19" i="15"/>
  <c r="F19" i="15" s="1"/>
  <c r="G19" i="15" s="1"/>
  <c r="E200" i="15"/>
  <c r="F200" i="15" s="1"/>
  <c r="G200" i="15" s="1"/>
  <c r="E95" i="15"/>
  <c r="F95" i="15" s="1"/>
  <c r="G95" i="15" s="1"/>
  <c r="E115" i="15"/>
  <c r="F115" i="15" s="1"/>
  <c r="G115" i="15" s="1"/>
  <c r="E192" i="15"/>
  <c r="F192" i="15" s="1"/>
  <c r="G192" i="15" s="1"/>
  <c r="E79" i="15"/>
  <c r="F79" i="15" s="1"/>
  <c r="G79" i="15" s="1"/>
  <c r="E99" i="15"/>
  <c r="F99" i="15" s="1"/>
  <c r="G99" i="15" s="1"/>
  <c r="E49" i="15"/>
  <c r="F49" i="15" s="1"/>
  <c r="G49" i="15" s="1"/>
  <c r="E175" i="15"/>
  <c r="F175" i="15" s="1"/>
  <c r="G175" i="15" s="1"/>
  <c r="E4" i="15"/>
  <c r="F4" i="15" s="1"/>
  <c r="G4" i="15" s="1"/>
  <c r="E105" i="15"/>
  <c r="F105" i="15" s="1"/>
  <c r="G105" i="15" s="1"/>
  <c r="E38" i="15"/>
  <c r="F38" i="15" s="1"/>
  <c r="G38" i="15" s="1"/>
  <c r="E60" i="15"/>
  <c r="F60" i="15" s="1"/>
  <c r="G60" i="15" s="1"/>
  <c r="E161" i="15"/>
  <c r="F161" i="15" s="1"/>
  <c r="G161" i="15" s="1"/>
  <c r="E94" i="15"/>
  <c r="F94" i="15" s="1"/>
  <c r="G94" i="15" s="1"/>
  <c r="E116" i="15"/>
  <c r="F116" i="15" s="1"/>
  <c r="G116" i="15" s="1"/>
  <c r="E150" i="15"/>
  <c r="F150" i="15" s="1"/>
  <c r="G150" i="15" s="1"/>
  <c r="E91" i="15"/>
  <c r="F91" i="15" s="1"/>
  <c r="G91" i="15" s="1"/>
  <c r="E2" i="15"/>
  <c r="F2" i="15" s="1"/>
  <c r="G2" i="15" s="1"/>
  <c r="AV33" i="1" a="1"/>
  <c r="AV33" i="1" l="1"/>
  <c r="AK36" i="1"/>
  <c r="AP30" i="1" s="1"/>
  <c r="BB30" i="1"/>
  <c r="W34" i="1"/>
  <c r="W32" i="1"/>
  <c r="AV34" i="1" a="1"/>
  <c r="BB32" i="1" a="1"/>
  <c r="AP33" i="1" a="1"/>
  <c r="AP32" i="1" a="1"/>
  <c r="AP34" i="1" a="1"/>
  <c r="BB34" i="1" a="1"/>
  <c r="BB33" i="1" a="1"/>
  <c r="AV32" i="1" a="1"/>
  <c r="BB32" i="1" l="1"/>
  <c r="AV32" i="1"/>
  <c r="AP32" i="1"/>
  <c r="BB34" i="1"/>
  <c r="AV34" i="1"/>
  <c r="AP34" i="1"/>
  <c r="BB33" i="1"/>
  <c r="AP33" i="1"/>
  <c r="AJ30" i="1"/>
  <c r="W31" i="1"/>
  <c r="W35" i="1"/>
  <c r="BH30" i="1"/>
  <c r="AJ32" i="1" a="1"/>
  <c r="BH34" i="1" a="1"/>
  <c r="AJ34" i="1" a="1"/>
  <c r="AJ31" i="1" a="1"/>
  <c r="BH35" i="1" a="1"/>
  <c r="AP35" i="1" a="1"/>
  <c r="AV31" i="1" a="1"/>
  <c r="BH32" i="1" a="1"/>
  <c r="AV35" i="1" a="1"/>
  <c r="AJ35" i="1" a="1"/>
  <c r="AJ33" i="1" a="1"/>
  <c r="AP31" i="1" a="1"/>
  <c r="BB35" i="1" a="1"/>
  <c r="BH33" i="1" a="1"/>
  <c r="BB31" i="1" a="1"/>
  <c r="BH31" i="1" a="1"/>
  <c r="BH35" i="1" l="1"/>
  <c r="BB35" i="1"/>
  <c r="AV35" i="1"/>
  <c r="AP35" i="1"/>
  <c r="AJ35" i="1"/>
  <c r="BH31" i="1"/>
  <c r="BB31" i="1"/>
  <c r="AV31" i="1"/>
  <c r="AP31" i="1"/>
  <c r="AJ31" i="1"/>
  <c r="BH33" i="1"/>
  <c r="BH34" i="1"/>
  <c r="BH32" i="1"/>
  <c r="AJ33" i="1"/>
  <c r="AJ34" i="1"/>
  <c r="AJ32" i="1"/>
  <c r="BN30" i="1"/>
  <c r="AD30" i="1"/>
  <c r="BN35" i="1" a="1"/>
  <c r="BN32" i="1" a="1"/>
  <c r="BN34" i="1" a="1"/>
  <c r="AD33" i="1" a="1"/>
  <c r="AD31" i="1" a="1"/>
  <c r="AD35" i="1" a="1"/>
  <c r="AD34" i="1" a="1"/>
  <c r="BN33" i="1" a="1"/>
  <c r="AD32" i="1" a="1"/>
  <c r="BN31" i="1" a="1"/>
  <c r="AD33" i="1" l="1"/>
  <c r="AD34" i="1"/>
  <c r="AD32" i="1"/>
  <c r="AD31" i="1"/>
  <c r="AD35" i="1"/>
  <c r="BN33" i="1"/>
  <c r="BN34" i="1"/>
  <c r="BN32" i="1"/>
  <c r="BN31" i="1"/>
  <c r="BN3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Nicolás Cuesta Quintero</author>
  </authors>
  <commentList>
    <comment ref="AB8" authorId="0" shapeId="0" xr:uid="{CF000528-0981-4335-81AE-E2DC18C6E75A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3M T-Bills.</t>
        </r>
      </text>
    </comment>
    <comment ref="AB9" authorId="0" shapeId="0" xr:uid="{599ABF54-45B0-41DC-8641-887B5E9EE82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EWMA 100 Days. Lambda = 0.94.</t>
        </r>
      </text>
    </comment>
    <comment ref="AB12" authorId="0" shapeId="0" xr:uid="{A169DAF5-B042-473C-A245-2E3808C70946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CRR Assumes no dividends. BSM assumes Yahoo Finance forward dividend yield.</t>
        </r>
      </text>
    </comment>
    <comment ref="D25" authorId="0" shapeId="0" xr:uid="{AB467E43-D649-4784-9ABE-3A7E3045A95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Based on BSM model.</t>
        </r>
      </text>
    </comment>
    <comment ref="E33" authorId="0" shapeId="0" xr:uid="{B54B4D27-F739-4CF0-B893-D6EB3E5902E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</t>
        </r>
      </text>
    </comment>
    <comment ref="E35" authorId="0" shapeId="0" xr:uid="{0D26A67D-ADAF-4EC5-B1C2-C7A160462D41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S^2</t>
        </r>
      </text>
    </comment>
    <comment ref="E37" authorId="0" shapeId="0" xr:uid="{B83524F4-9BA3-4231-9DCA-6B2BD537BF66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t</t>
        </r>
      </text>
    </comment>
    <comment ref="E39" authorId="0" shapeId="0" xr:uid="{762E9EB5-77B3-47F3-8804-9346F46C58F2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Sigma</t>
        </r>
      </text>
    </comment>
    <comment ref="E41" authorId="0" shapeId="0" xr:uid="{E591D3B5-C7D5-439C-9D0E-939414AC51F7}">
      <text>
        <r>
          <rPr>
            <b/>
            <sz val="9"/>
            <color indexed="81"/>
            <rFont val="Tahoma"/>
            <family val="2"/>
          </rPr>
          <t>Nicolás Cuesta Quintero:</t>
        </r>
        <r>
          <rPr>
            <sz val="9"/>
            <color indexed="81"/>
            <rFont val="Tahoma"/>
            <family val="2"/>
          </rPr>
          <t xml:space="preserve">
rf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5F4DB53-48B0-4121-BE12-597A0F6DB895}" keepAlive="1" name="Query - Symbol" description="Connection to the 'Symbol' query in the workbook." type="5" refreshedVersion="0" background="1">
    <dbPr connection="Provider=Microsoft.Mashup.OleDb.1;Data Source=$Workbook$;Location=Symbol;Extended Properties=&quot;&quot;" command="SELECT * FROM [Symbol]"/>
  </connection>
  <connection id="2" xr16:uid="{8FF8FC48-7965-46F6-8064-7DF5B31CF2CD}" keepAlive="1" name="Query - Symbol (ref)" description="Connection to the 'Symbol (ref)' query in the workbook." type="5" refreshedVersion="6" background="1" saveData="1">
    <dbPr connection="Provider=Microsoft.Mashup.OleDb.1;Data Source=$Workbook$;Location=&quot;Symbol (ref)&quot;;Extended Properties=&quot;&quot;" command="SELECT * FROM [Symbol (ref)]"/>
  </connection>
  <connection id="3" xr16:uid="{FACE9067-DAD5-433C-B843-B3074F749845}" keepAlive="1" name="Query - T-Bills 3M" description="Connection to the 'T-Bills 3M' query in the workbook." type="5" refreshedVersion="6" background="1" saveData="1">
    <dbPr connection="Provider=Microsoft.Mashup.OleDb.1;Data Source=$Workbook$;Location=&quot;T-Bills 3M&quot;;Extended Properties=&quot;&quot;" command="SELECT * FROM [T-Bills 3M]"/>
  </connection>
  <connection id="4" xr16:uid="{FD4A39A7-5E15-4A55-959C-781B5571E9D4}" keepAlive="1" interval="15" name="Query - YF Calls" description="Connection to the 'YF Calls' query in the workbook." type="5" refreshedVersion="6" background="1" refreshOnLoad="1" saveData="1">
    <dbPr connection="Provider=Microsoft.Mashup.OleDb.1;Data Source=$Workbook$;Location=&quot;YF Calls&quot;;Extended Properties=&quot;&quot;" command="SELECT * FROM [YF Calls]"/>
  </connection>
  <connection id="5" xr16:uid="{2FF3C36D-9F51-44C1-8577-4F4662643006}" keepAlive="1" interval="15" name="Query - YF Puts" description="Connection to the 'YF Puts' query in the workbook." type="5" refreshedVersion="6" background="1" refreshOnLoad="1" saveData="1">
    <dbPr connection="Provider=Microsoft.Mashup.OleDb.1;Data Source=$Workbook$;Location=&quot;YF Puts&quot;;Extended Properties=&quot;&quot;" command="SELECT * FROM [YF Puts]"/>
  </connection>
  <connection id="6" xr16:uid="{3FDAD1BD-336F-4EF6-A553-DC457F9E97EA}" keepAlive="1" interval="15" name="Query - YF Spot" description="Connection to the 'YF Spot' query in the workbook." type="5" refreshedVersion="6" background="1" refreshOnLoad="1" saveData="1">
    <dbPr connection="Provider=Microsoft.Mashup.OleDb.1;Data Source=$Workbook$;Location=&quot;YF Spot&quot;;Extended Properties=&quot;&quot;" command="SELECT * FROM [YF Spot]"/>
  </connection>
  <connection id="7" xr16:uid="{3F998297-A792-463F-AD12-9CAE82BE81B7}" keepAlive="1" interval="15" name="Query - YF Summary A" description="Connection to the 'YF Summary A' query in the workbook." type="5" refreshedVersion="6" background="1" saveData="1">
    <dbPr connection="Provider=Microsoft.Mashup.OleDb.1;Data Source=$Workbook$;Location=&quot;YF Summary A&quot;;Extended Properties=&quot;&quot;" command="SELECT * FROM [YF Summary A]"/>
  </connection>
  <connection id="8" xr16:uid="{61A3AA05-7E7D-4175-B93E-6272D991C470}" keepAlive="1" interval="15" name="Query - YF Summary B" description="Connection to the 'YF Summary B' query in the workbook." type="5" refreshedVersion="6" background="1" saveData="1">
    <dbPr connection="Provider=Microsoft.Mashup.OleDb.1;Data Source=$Workbook$;Location=&quot;YF Summary B&quot;;Extended Properties=&quot;&quot;" command="SELECT * FROM [YF Summary B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<sst xmlns="http://schemas.openxmlformats.org/spreadsheetml/2006/main" count="233" uniqueCount="176">
  <si>
    <t>Date</t>
  </si>
  <si>
    <t>Open</t>
  </si>
  <si>
    <t>High</t>
  </si>
  <si>
    <t>Low</t>
  </si>
  <si>
    <t>Close*</t>
  </si>
  <si>
    <t>Adj Close**</t>
  </si>
  <si>
    <t>Volume</t>
  </si>
  <si>
    <t>12.80</t>
  </si>
  <si>
    <t>12.42</t>
  </si>
  <si>
    <t>12.74</t>
  </si>
  <si>
    <t>Column1</t>
  </si>
  <si>
    <t>Column2</t>
  </si>
  <si>
    <t>Market Cap</t>
  </si>
  <si>
    <t>Beta (5Y Monthly)</t>
  </si>
  <si>
    <t>1.32</t>
  </si>
  <si>
    <t>PE Ratio (TTM)</t>
  </si>
  <si>
    <t>1,430.00</t>
  </si>
  <si>
    <t>EPS (TTM)</t>
  </si>
  <si>
    <t>0.01</t>
  </si>
  <si>
    <t>Earnings Date</t>
  </si>
  <si>
    <t>May 05, 2021 - May 10, 2021</t>
  </si>
  <si>
    <t>Forward Dividend &amp; Yield</t>
  </si>
  <si>
    <t>Ex-Dividend Date</t>
  </si>
  <si>
    <t>Dec 30, 2020</t>
  </si>
  <si>
    <t>1y Target Est</t>
  </si>
  <si>
    <t>Contract Name</t>
  </si>
  <si>
    <t>Last Trade Date</t>
  </si>
  <si>
    <t>Strike</t>
  </si>
  <si>
    <t>Last Price</t>
  </si>
  <si>
    <t>Bid</t>
  </si>
  <si>
    <t>Ask</t>
  </si>
  <si>
    <t>Change</t>
  </si>
  <si>
    <t>% Change</t>
  </si>
  <si>
    <t>Open Interest</t>
  </si>
  <si>
    <t>Implied Volatility</t>
  </si>
  <si>
    <t>ARI210219P00005000</t>
  </si>
  <si>
    <t>2020-12-08 9:31AM EST</t>
  </si>
  <si>
    <t>-</t>
  </si>
  <si>
    <t>4</t>
  </si>
  <si>
    <t>ARI210219P00007500</t>
  </si>
  <si>
    <t>2021-02-02 2:51PM EST</t>
  </si>
  <si>
    <t>1</t>
  </si>
  <si>
    <t>ARI210219P00010000</t>
  </si>
  <si>
    <t>2021-02-09 11:17AM EST</t>
  </si>
  <si>
    <t>ARI210219P00012500</t>
  </si>
  <si>
    <t>2021-02-12 2:43PM EST</t>
  </si>
  <si>
    <t>-50.00%</t>
  </si>
  <si>
    <t>ARI210219P00015000</t>
  </si>
  <si>
    <t>2021-01-11 9:42AM EST</t>
  </si>
  <si>
    <t>7</t>
  </si>
  <si>
    <t>ARI210219P00017500</t>
  </si>
  <si>
    <t>2021-01-22 9:53AM EST</t>
  </si>
  <si>
    <t>ARI210219P00020000</t>
  </si>
  <si>
    <t>2020-06-29 8:30AM EST</t>
  </si>
  <si>
    <t>Previous Close</t>
  </si>
  <si>
    <t>12.80 x 800</t>
  </si>
  <si>
    <t>13.00 x 1100</t>
  </si>
  <si>
    <t>Day's Range</t>
  </si>
  <si>
    <t>12.70 - 12.98</t>
  </si>
  <si>
    <t>52 Week Range</t>
  </si>
  <si>
    <t>4.12 - 18.51</t>
  </si>
  <si>
    <t>Avg. Volume</t>
  </si>
  <si>
    <t>ARI210219C00002500</t>
  </si>
  <si>
    <t>2020-09-09 2:30PM EST</t>
  </si>
  <si>
    <t>ARI210219C00005000</t>
  </si>
  <si>
    <t>2021-02-01 2:23PM EST</t>
  </si>
  <si>
    <t>5</t>
  </si>
  <si>
    <t>ARI210219C00007500</t>
  </si>
  <si>
    <t>2021-01-06 3:53PM EST</t>
  </si>
  <si>
    <t>ARI210219C00010000</t>
  </si>
  <si>
    <t>2021-02-12 9:58AM EST</t>
  </si>
  <si>
    <t>+10.29%</t>
  </si>
  <si>
    <t>17</t>
  </si>
  <si>
    <t>ARI210219C00012500</t>
  </si>
  <si>
    <t>2021-02-12 1:22PM EST</t>
  </si>
  <si>
    <t>+31.58%</t>
  </si>
  <si>
    <t>83</t>
  </si>
  <si>
    <t>ARI210219C00015000</t>
  </si>
  <si>
    <t>2021-02-10 3:47PM EST</t>
  </si>
  <si>
    <t>101</t>
  </si>
  <si>
    <t>ARI210219C00017500</t>
  </si>
  <si>
    <t>2021-01-20 11:35AM EST</t>
  </si>
  <si>
    <t>ARI210219C00020000</t>
  </si>
  <si>
    <t>2020-08-21 11:58AM EST</t>
  </si>
  <si>
    <t>10</t>
  </si>
  <si>
    <t>SYMBOL</t>
  </si>
  <si>
    <t>Symbol (ref)</t>
  </si>
  <si>
    <t>ARI</t>
  </si>
  <si>
    <t>SPOT</t>
  </si>
  <si>
    <t>SPOT INFORMATION</t>
  </si>
  <si>
    <t>Type</t>
  </si>
  <si>
    <t>Size</t>
  </si>
  <si>
    <t>PRICE:</t>
  </si>
  <si>
    <t>TYPE:</t>
  </si>
  <si>
    <t>STRIKE:</t>
  </si>
  <si>
    <t>MATURITY:</t>
  </si>
  <si>
    <t>SIZE:</t>
  </si>
  <si>
    <t>AS OF</t>
  </si>
  <si>
    <t>FMV:</t>
  </si>
  <si>
    <t>SPOT:</t>
  </si>
  <si>
    <t>RF RATE:</t>
  </si>
  <si>
    <t>VOLATILITY:</t>
  </si>
  <si>
    <t>METHOD:</t>
  </si>
  <si>
    <t>CALL</t>
  </si>
  <si>
    <t>BSM</t>
  </si>
  <si>
    <t>SPOT(-1):</t>
  </si>
  <si>
    <t>OPEN:</t>
  </si>
  <si>
    <t>BID:</t>
  </si>
  <si>
    <t>ASK:</t>
  </si>
  <si>
    <t>DAY'S RANGE:</t>
  </si>
  <si>
    <t>MARKET CAP:</t>
  </si>
  <si>
    <t>VOLUME:</t>
  </si>
  <si>
    <t>AV. VOLUME:</t>
  </si>
  <si>
    <t>EX-DIVIDEND:</t>
  </si>
  <si>
    <t>EARNINGS</t>
  </si>
  <si>
    <t>Rank</t>
  </si>
  <si>
    <t>Close</t>
  </si>
  <si>
    <t>HPR</t>
  </si>
  <si>
    <t>VAR</t>
  </si>
  <si>
    <t>SD</t>
  </si>
  <si>
    <t>LAMBDA</t>
  </si>
  <si>
    <t>P + 2SD</t>
  </si>
  <si>
    <t>P - 2SD</t>
  </si>
  <si>
    <t>POTENTIAL (OR ACTUAL) TRADE</t>
  </si>
  <si>
    <t>Spot</t>
  </si>
  <si>
    <t>Price</t>
  </si>
  <si>
    <t>Delta</t>
  </si>
  <si>
    <t>Min %</t>
  </si>
  <si>
    <t>Min $</t>
  </si>
  <si>
    <t>S</t>
  </si>
  <si>
    <t>Uo</t>
  </si>
  <si>
    <t>Scenario</t>
  </si>
  <si>
    <t>Return</t>
  </si>
  <si>
    <t>Status</t>
  </si>
  <si>
    <t>Prime</t>
  </si>
  <si>
    <t>XAC</t>
  </si>
  <si>
    <t>CALLS</t>
  </si>
  <si>
    <t>PUTS</t>
  </si>
  <si>
    <t>1,103,167</t>
  </si>
  <si>
    <t>1.8B</t>
  </si>
  <si>
    <t>1.40 (10.88%)</t>
  </si>
  <si>
    <t>TOP 5 QUOTES BY OPEN INTEREST</t>
  </si>
  <si>
    <t>Vol.</t>
  </si>
  <si>
    <t>Last 5 Days</t>
  </si>
  <si>
    <t>OPEN</t>
  </si>
  <si>
    <t>HIGH</t>
  </si>
  <si>
    <t>LOW</t>
  </si>
  <si>
    <t>CLOSE</t>
  </si>
  <si>
    <t>776,894</t>
  </si>
  <si>
    <t>DIV. YIELD:</t>
  </si>
  <si>
    <t>P/E TTM:</t>
  </si>
  <si>
    <t>EPS TTM:</t>
  </si>
  <si>
    <t>BETA (5Y):</t>
  </si>
  <si>
    <t>DELTA:</t>
  </si>
  <si>
    <t>GAMMA:</t>
  </si>
  <si>
    <t>THETA:</t>
  </si>
  <si>
    <t>VEGA:</t>
  </si>
  <si>
    <t>RHO:</t>
  </si>
  <si>
    <t>IM. VOLATILITY:</t>
  </si>
  <si>
    <t>SCENARIO ANALYSIS</t>
  </si>
  <si>
    <t>Volatility</t>
  </si>
  <si>
    <t>Spot Price</t>
  </si>
  <si>
    <t>GREEKS</t>
  </si>
  <si>
    <t>ytm</t>
  </si>
  <si>
    <t>ytm:</t>
  </si>
  <si>
    <t>u:</t>
  </si>
  <si>
    <t>d:</t>
  </si>
  <si>
    <t>VOLATILITY SUNRISE</t>
  </si>
  <si>
    <t>rf</t>
  </si>
  <si>
    <t>Option</t>
  </si>
  <si>
    <t>Min</t>
  </si>
  <si>
    <t>Max</t>
  </si>
  <si>
    <t>N</t>
  </si>
  <si>
    <t>n</t>
  </si>
  <si>
    <t>ytm = years to maturity</t>
  </si>
  <si>
    <t>Ux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</si>
</sst>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.00000_);_(* \(#,##0.00000\);_(* &quot;-&quot;??_);_(@_)"/>
    <numFmt numFmtId="166" formatCode="0.000%"/>
    <numFmt numFmtId="167" formatCode="_(&quot;$&quot;* #,##0.000_);_(&quot;$&quot;* \(#,##0.000\);_(&quot;$&quot;* &quot;-&quot;??_);_(@_)"/>
    <numFmt numFmtId="168" formatCode="0.000"/>
    <numFmt numFmtId="169" formatCode="_(* #,##0.000_);_(* \(#,##0.000\);_(* &quot;-&quot;??_);_(@_)"/>
    <numFmt numFmtId="170" formatCode="0.00000"/>
    <numFmt numFmtId="171" formatCode="_(&quot;$&quot;* #,##0.0_);_(&quot;$&quot;* \(#,##0.0\);_(&quot;$&quot;* &quot;-&quot;??_);_(@_)"/>
    <numFmt numFmtId="172" formatCode="_(* #,##0.0_);_(* \(#,##0.0\);_(* &quot;-&quot;??_);_(@_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b/>
      <sz val="11"/>
      <color theme="4" tint="0.39997558519241921"/>
      <name val="Segoe UI"/>
      <family val="2"/>
    </font>
    <font>
      <b/>
      <sz val="11"/>
      <color theme="4" tint="-0.499984740745262"/>
      <name val="Segoe UI"/>
      <family val="2"/>
    </font>
    <font>
      <b/>
      <u/>
      <sz val="10"/>
      <color theme="4" tint="-0.499984740745262"/>
      <name val="Segoe UI"/>
      <family val="2"/>
    </font>
    <font>
      <b/>
      <sz val="9"/>
      <color theme="4" tint="-0.249977111117893"/>
      <name val="Segoe UI"/>
      <family val="2"/>
    </font>
    <font>
      <sz val="9"/>
      <color theme="1"/>
      <name val="Segoe UI"/>
      <family val="2"/>
    </font>
    <font>
      <sz val="9"/>
      <color theme="4" tint="-0.249977111117893"/>
      <name val="Segoe UI"/>
      <family val="2"/>
    </font>
    <font>
      <sz val="9"/>
      <color rgb="FFFF0000"/>
      <name val="Segoe UI"/>
      <family val="2"/>
    </font>
    <font>
      <sz val="9"/>
      <color rgb="FF00B050"/>
      <name val="Segoe UI"/>
      <family val="2"/>
    </font>
    <font>
      <sz val="9"/>
      <color theme="4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9"/>
      <color theme="0"/>
      <name val="Segoe UI"/>
      <family val="2"/>
    </font>
    <font>
      <sz val="8"/>
      <color theme="1"/>
      <name val="Segoe UI"/>
      <family val="2"/>
    </font>
    <font>
      <b/>
      <sz val="9"/>
      <color theme="1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DashDotDot">
        <color indexed="64"/>
      </right>
      <top style="medium">
        <color indexed="64"/>
      </top>
      <bottom/>
      <diagonal/>
    </border>
    <border>
      <left/>
      <right style="mediumDashDotDot">
        <color indexed="64"/>
      </right>
      <top/>
      <bottom/>
      <diagonal/>
    </border>
    <border>
      <left/>
      <right style="mediumDashDotDot">
        <color indexed="64"/>
      </right>
      <top/>
      <bottom style="medium">
        <color indexed="64"/>
      </bottom>
      <diagonal/>
    </border>
    <border>
      <left style="mediumDashDotDot">
        <color indexed="64"/>
      </left>
      <right/>
      <top style="medium">
        <color indexed="64"/>
      </top>
      <bottom/>
      <diagonal/>
    </border>
    <border>
      <left/>
      <right style="mediumDashDot">
        <color indexed="64"/>
      </right>
      <top style="medium">
        <color indexed="64"/>
      </top>
      <bottom/>
      <diagonal/>
    </border>
    <border>
      <left style="mediumDashDotDot">
        <color indexed="64"/>
      </left>
      <right/>
      <top/>
      <bottom/>
      <diagonal/>
    </border>
    <border>
      <left/>
      <right style="mediumDashDot">
        <color indexed="64"/>
      </right>
      <top/>
      <bottom/>
      <diagonal/>
    </border>
    <border>
      <left style="mediumDashDotDot">
        <color indexed="64"/>
      </left>
      <right/>
      <top/>
      <bottom style="medium">
        <color indexed="64"/>
      </bottom>
      <diagonal/>
    </border>
    <border>
      <left/>
      <right style="mediumDashDot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medium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 style="thin">
        <color theme="4" tint="-0.499984740745262"/>
      </left>
      <right/>
      <top style="thin">
        <color theme="4" tint="-0.499984740745262"/>
      </top>
      <bottom/>
      <diagonal/>
    </border>
    <border>
      <left/>
      <right/>
      <top style="thin">
        <color theme="4" tint="-0.499984740745262"/>
      </top>
      <bottom/>
      <diagonal/>
    </border>
    <border>
      <left/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/>
      <top/>
      <bottom/>
      <diagonal/>
    </border>
    <border>
      <left/>
      <right style="thin">
        <color theme="4" tint="-0.499984740745262"/>
      </right>
      <top/>
      <bottom/>
      <diagonal/>
    </border>
    <border>
      <left style="thin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/>
      <right style="thin">
        <color theme="4" tint="-0.499984740745262"/>
      </right>
      <top/>
      <bottom style="thin">
        <color theme="4" tint="-0.499984740745262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1">
    <xf numFmtId="0" fontId="0" fillId="0" borderId="0" xfId="0"/>
    <xf numFmtId="14" fontId="0" fillId="0" borderId="0" xfId="0" applyNumberFormat="1"/>
    <xf numFmtId="0" fontId="0" fillId="0" borderId="0" xfId="0" applyNumberFormat="1"/>
    <xf numFmtId="0" fontId="2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 applyBorder="1"/>
    <xf numFmtId="0" fontId="2" fillId="0" borderId="5" xfId="0" applyFont="1" applyBorder="1"/>
    <xf numFmtId="0" fontId="2" fillId="0" borderId="0" xfId="0" applyFont="1" applyBorder="1" applyAlignment="1"/>
    <xf numFmtId="0" fontId="5" fillId="0" borderId="0" xfId="0" applyFont="1" applyBorder="1" applyAlignment="1">
      <alignment horizontal="center" vertical="center"/>
    </xf>
    <xf numFmtId="9" fontId="0" fillId="0" borderId="0" xfId="3" applyFont="1"/>
    <xf numFmtId="10" fontId="0" fillId="0" borderId="0" xfId="3" applyNumberFormat="1" applyFont="1"/>
    <xf numFmtId="43" fontId="0" fillId="0" borderId="0" xfId="1" applyFont="1"/>
    <xf numFmtId="14" fontId="0" fillId="0" borderId="9" xfId="0" applyNumberFormat="1" applyBorder="1"/>
    <xf numFmtId="0" fontId="0" fillId="0" borderId="9" xfId="0" applyBorder="1"/>
    <xf numFmtId="10" fontId="0" fillId="0" borderId="9" xfId="3" applyNumberFormat="1" applyFont="1" applyBorder="1"/>
    <xf numFmtId="165" fontId="0" fillId="0" borderId="0" xfId="1" applyNumberFormat="1" applyFont="1"/>
    <xf numFmtId="43" fontId="0" fillId="0" borderId="0" xfId="0" applyNumberFormat="1"/>
    <xf numFmtId="43" fontId="0" fillId="0" borderId="0" xfId="1" applyNumberFormat="1" applyFont="1"/>
    <xf numFmtId="0" fontId="2" fillId="3" borderId="1" xfId="0" applyFont="1" applyFill="1" applyBorder="1"/>
    <xf numFmtId="0" fontId="2" fillId="3" borderId="2" xfId="0" applyFont="1" applyFill="1" applyBorder="1"/>
    <xf numFmtId="14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vertical="center"/>
    </xf>
    <xf numFmtId="0" fontId="2" fillId="3" borderId="3" xfId="0" applyFont="1" applyFill="1" applyBorder="1"/>
    <xf numFmtId="0" fontId="2" fillId="0" borderId="10" xfId="0" applyFont="1" applyBorder="1"/>
    <xf numFmtId="0" fontId="2" fillId="0" borderId="11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/>
    <xf numFmtId="0" fontId="2" fillId="0" borderId="16" xfId="0" applyFont="1" applyBorder="1"/>
    <xf numFmtId="44" fontId="0" fillId="0" borderId="0" xfId="0" applyNumberFormat="1"/>
    <xf numFmtId="1" fontId="0" fillId="0" borderId="0" xfId="0" applyNumberFormat="1"/>
    <xf numFmtId="43" fontId="0" fillId="0" borderId="9" xfId="1" applyFont="1" applyBorder="1"/>
    <xf numFmtId="0" fontId="7" fillId="0" borderId="4" xfId="0" applyFont="1" applyBorder="1"/>
    <xf numFmtId="0" fontId="7" fillId="0" borderId="0" xfId="0" applyFont="1" applyBorder="1"/>
    <xf numFmtId="0" fontId="7" fillId="0" borderId="11" xfId="0" applyFont="1" applyBorder="1"/>
    <xf numFmtId="0" fontId="7" fillId="0" borderId="15" xfId="0" applyFont="1" applyBorder="1"/>
    <xf numFmtId="0" fontId="7" fillId="0" borderId="16" xfId="0" applyFont="1" applyBorder="1"/>
    <xf numFmtId="0" fontId="7" fillId="0" borderId="5" xfId="0" applyFont="1" applyBorder="1"/>
    <xf numFmtId="0" fontId="7" fillId="0" borderId="0" xfId="0" applyFont="1" applyBorder="1" applyAlignment="1">
      <alignment horizontal="right"/>
    </xf>
    <xf numFmtId="0" fontId="7" fillId="0" borderId="0" xfId="0" applyFont="1" applyBorder="1" applyAlignment="1"/>
    <xf numFmtId="0" fontId="7" fillId="0" borderId="6" xfId="0" applyFont="1" applyBorder="1"/>
    <xf numFmtId="0" fontId="7" fillId="0" borderId="7" xfId="0" applyFont="1" applyBorder="1" applyAlignment="1"/>
    <xf numFmtId="0" fontId="7" fillId="0" borderId="7" xfId="0" applyFont="1" applyBorder="1"/>
    <xf numFmtId="0" fontId="7" fillId="0" borderId="12" xfId="0" applyFont="1" applyBorder="1"/>
    <xf numFmtId="0" fontId="7" fillId="0" borderId="17" xfId="0" applyFont="1" applyBorder="1"/>
    <xf numFmtId="0" fontId="7" fillId="0" borderId="18" xfId="0" applyFont="1" applyBorder="1"/>
    <xf numFmtId="0" fontId="7" fillId="0" borderId="8" xfId="0" applyFont="1" applyBorder="1"/>
    <xf numFmtId="1" fontId="7" fillId="0" borderId="0" xfId="0" applyNumberFormat="1" applyFont="1" applyBorder="1" applyAlignment="1"/>
    <xf numFmtId="0" fontId="7" fillId="0" borderId="1" xfId="0" applyFont="1" applyBorder="1"/>
    <xf numFmtId="0" fontId="7" fillId="0" borderId="2" xfId="0" applyFont="1" applyBorder="1" applyAlignment="1"/>
    <xf numFmtId="0" fontId="7" fillId="0" borderId="2" xfId="0" applyFont="1" applyBorder="1"/>
    <xf numFmtId="0" fontId="7" fillId="0" borderId="3" xfId="0" applyFont="1" applyBorder="1"/>
    <xf numFmtId="0" fontId="7" fillId="0" borderId="4" xfId="0" applyFont="1" applyBorder="1" applyAlignment="1"/>
    <xf numFmtId="0" fontId="7" fillId="0" borderId="5" xfId="0" applyFont="1" applyBorder="1" applyAlignment="1"/>
    <xf numFmtId="0" fontId="7" fillId="0" borderId="14" xfId="0" applyFont="1" applyBorder="1"/>
    <xf numFmtId="0" fontId="7" fillId="0" borderId="16" xfId="0" applyFont="1" applyBorder="1" applyAlignment="1"/>
    <xf numFmtId="0" fontId="15" fillId="0" borderId="0" xfId="0" applyFont="1" applyBorder="1"/>
    <xf numFmtId="0" fontId="5" fillId="0" borderId="20" xfId="0" applyFont="1" applyBorder="1" applyAlignment="1">
      <alignment horizontal="center" vertical="center"/>
    </xf>
    <xf numFmtId="166" fontId="0" fillId="0" borderId="0" xfId="3" applyNumberFormat="1" applyFont="1"/>
    <xf numFmtId="170" fontId="0" fillId="0" borderId="0" xfId="0" applyNumberFormat="1"/>
    <xf numFmtId="166" fontId="0" fillId="0" borderId="0" xfId="0" applyNumberFormat="1"/>
    <xf numFmtId="169" fontId="0" fillId="0" borderId="0" xfId="1" applyNumberFormat="1" applyFont="1"/>
    <xf numFmtId="22" fontId="0" fillId="0" borderId="0" xfId="0" applyNumberFormat="1"/>
    <xf numFmtId="44" fontId="0" fillId="0" borderId="0" xfId="2" applyNumberFormat="1" applyFont="1"/>
    <xf numFmtId="0" fontId="16" fillId="0" borderId="0" xfId="0" applyFont="1" applyBorder="1" applyAlignment="1">
      <alignment vertical="top"/>
    </xf>
    <xf numFmtId="171" fontId="0" fillId="0" borderId="0" xfId="2" applyNumberFormat="1" applyFont="1"/>
    <xf numFmtId="172" fontId="0" fillId="0" borderId="0" xfId="1" applyNumberFormat="1" applyFont="1"/>
    <xf numFmtId="169" fontId="0" fillId="0" borderId="0" xfId="0" applyNumberFormat="1"/>
    <xf numFmtId="0" fontId="7" fillId="5" borderId="22" xfId="0" applyFont="1" applyFill="1" applyBorder="1"/>
    <xf numFmtId="0" fontId="7" fillId="5" borderId="23" xfId="0" applyFont="1" applyFill="1" applyBorder="1"/>
    <xf numFmtId="0" fontId="7" fillId="5" borderId="24" xfId="0" applyFont="1" applyFill="1" applyBorder="1"/>
    <xf numFmtId="0" fontId="7" fillId="5" borderId="25" xfId="0" applyFont="1" applyFill="1" applyBorder="1"/>
    <xf numFmtId="0" fontId="7" fillId="5" borderId="26" xfId="0" applyFont="1" applyFill="1" applyBorder="1"/>
    <xf numFmtId="0" fontId="7" fillId="5" borderId="0" xfId="0" applyFont="1" applyFill="1" applyBorder="1"/>
    <xf numFmtId="0" fontId="7" fillId="5" borderId="27" xfId="0" applyFont="1" applyFill="1" applyBorder="1"/>
    <xf numFmtId="0" fontId="7" fillId="5" borderId="28" xfId="0" applyFont="1" applyFill="1" applyBorder="1"/>
    <xf numFmtId="0" fontId="7" fillId="5" borderId="29" xfId="0" applyFont="1" applyFill="1" applyBorder="1"/>
    <xf numFmtId="166" fontId="7" fillId="0" borderId="0" xfId="3" applyNumberFormat="1" applyFont="1" applyBorder="1" applyAlignment="1">
      <alignment horizontal="right"/>
    </xf>
    <xf numFmtId="0" fontId="6" fillId="2" borderId="0" xfId="0" applyFont="1" applyFill="1" applyBorder="1" applyAlignment="1">
      <alignment horizontal="right"/>
    </xf>
    <xf numFmtId="10" fontId="7" fillId="0" borderId="0" xfId="3" applyNumberFormat="1" applyFont="1" applyBorder="1" applyAlignment="1">
      <alignment horizontal="right"/>
    </xf>
    <xf numFmtId="0" fontId="7" fillId="0" borderId="0" xfId="0" applyFont="1" applyBorder="1" applyAlignment="1">
      <alignment horizontal="left"/>
    </xf>
    <xf numFmtId="0" fontId="8" fillId="0" borderId="0" xfId="0" applyFont="1" applyBorder="1" applyAlignment="1">
      <alignment horizontal="right"/>
    </xf>
    <xf numFmtId="0" fontId="11" fillId="0" borderId="0" xfId="0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44" fontId="6" fillId="2" borderId="0" xfId="2" applyFont="1" applyFill="1" applyBorder="1" applyAlignment="1">
      <alignment horizontal="right"/>
    </xf>
    <xf numFmtId="0" fontId="4" fillId="3" borderId="2" xfId="0" applyFont="1" applyFill="1" applyBorder="1" applyAlignment="1">
      <alignment horizontal="center" vertical="center"/>
    </xf>
    <xf numFmtId="14" fontId="3" fillId="3" borderId="2" xfId="0" applyNumberFormat="1" applyFont="1" applyFill="1" applyBorder="1" applyAlignment="1">
      <alignment horizontal="center" vertical="center"/>
    </xf>
    <xf numFmtId="49" fontId="7" fillId="0" borderId="0" xfId="2" applyNumberFormat="1" applyFont="1" applyBorder="1" applyAlignment="1">
      <alignment horizontal="right"/>
    </xf>
    <xf numFmtId="44" fontId="7" fillId="0" borderId="0" xfId="2" applyFont="1" applyBorder="1" applyAlignment="1">
      <alignment horizontal="right"/>
    </xf>
    <xf numFmtId="0" fontId="5" fillId="0" borderId="0" xfId="0" applyFont="1" applyBorder="1" applyAlignment="1">
      <alignment horizontal="center" vertical="center"/>
    </xf>
    <xf numFmtId="44" fontId="3" fillId="3" borderId="2" xfId="2" applyFont="1" applyFill="1" applyBorder="1" applyAlignment="1">
      <alignment horizontal="center" vertical="center"/>
    </xf>
    <xf numFmtId="2" fontId="7" fillId="0" borderId="0" xfId="1" applyNumberFormat="1" applyFont="1" applyBorder="1" applyAlignment="1">
      <alignment horizontal="right"/>
    </xf>
    <xf numFmtId="14" fontId="7" fillId="0" borderId="0" xfId="2" applyNumberFormat="1" applyFont="1" applyBorder="1" applyAlignment="1">
      <alignment horizontal="right"/>
    </xf>
    <xf numFmtId="164" fontId="7" fillId="0" borderId="0" xfId="2" applyNumberFormat="1" applyFont="1" applyBorder="1" applyAlignment="1">
      <alignment horizontal="right"/>
    </xf>
    <xf numFmtId="0" fontId="8" fillId="0" borderId="0" xfId="0" applyFont="1" applyBorder="1" applyAlignment="1">
      <alignment horizontal="left"/>
    </xf>
    <xf numFmtId="0" fontId="3" fillId="3" borderId="2" xfId="0" applyFont="1" applyFill="1" applyBorder="1" applyAlignment="1">
      <alignment horizontal="center" vertical="center"/>
    </xf>
    <xf numFmtId="44" fontId="6" fillId="2" borderId="0" xfId="2" applyNumberFormat="1" applyFont="1" applyFill="1" applyBorder="1" applyAlignment="1">
      <alignment horizontal="right"/>
    </xf>
    <xf numFmtId="1" fontId="6" fillId="2" borderId="0" xfId="0" applyNumberFormat="1" applyFont="1" applyFill="1" applyBorder="1" applyAlignment="1">
      <alignment horizontal="right"/>
    </xf>
    <xf numFmtId="14" fontId="6" fillId="2" borderId="0" xfId="0" applyNumberFormat="1" applyFont="1" applyFill="1" applyBorder="1" applyAlignment="1">
      <alignment horizontal="right"/>
    </xf>
    <xf numFmtId="44" fontId="7" fillId="0" borderId="0" xfId="2" applyNumberFormat="1" applyFont="1" applyBorder="1" applyAlignment="1">
      <alignment horizontal="right"/>
    </xf>
    <xf numFmtId="43" fontId="7" fillId="0" borderId="0" xfId="1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8" fillId="5" borderId="0" xfId="0" applyFont="1" applyFill="1" applyBorder="1" applyAlignment="1">
      <alignment horizontal="right"/>
    </xf>
    <xf numFmtId="167" fontId="7" fillId="5" borderId="0" xfId="2" applyNumberFormat="1" applyFont="1" applyFill="1" applyBorder="1" applyAlignment="1">
      <alignment horizontal="right"/>
    </xf>
    <xf numFmtId="10" fontId="7" fillId="5" borderId="0" xfId="2" applyNumberFormat="1" applyFont="1" applyFill="1" applyBorder="1" applyAlignment="1">
      <alignment horizontal="right"/>
    </xf>
    <xf numFmtId="44" fontId="7" fillId="5" borderId="0" xfId="2" applyFont="1" applyFill="1" applyBorder="1" applyAlignment="1">
      <alignment horizontal="right"/>
    </xf>
    <xf numFmtId="169" fontId="7" fillId="5" borderId="0" xfId="1" applyNumberFormat="1" applyFont="1" applyFill="1" applyBorder="1" applyAlignment="1">
      <alignment horizontal="right"/>
    </xf>
    <xf numFmtId="167" fontId="8" fillId="0" borderId="21" xfId="2" applyNumberFormat="1" applyFont="1" applyBorder="1" applyAlignment="1">
      <alignment horizontal="center"/>
    </xf>
    <xf numFmtId="10" fontId="8" fillId="0" borderId="0" xfId="0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10" fontId="6" fillId="4" borderId="0" xfId="0" applyNumberFormat="1" applyFont="1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10" fontId="8" fillId="0" borderId="20" xfId="0" applyNumberFormat="1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44" fontId="7" fillId="0" borderId="0" xfId="2" applyNumberFormat="1" applyFont="1" applyBorder="1" applyAlignment="1">
      <alignment horizontal="center"/>
    </xf>
    <xf numFmtId="0" fontId="16" fillId="0" borderId="0" xfId="0" applyFont="1" applyBorder="1" applyAlignment="1">
      <alignment horizontal="right" vertical="top"/>
    </xf>
    <xf numFmtId="2" fontId="16" fillId="0" borderId="0" xfId="0" applyNumberFormat="1" applyFont="1" applyBorder="1" applyAlignment="1">
      <alignment horizontal="center" vertical="top"/>
    </xf>
    <xf numFmtId="168" fontId="16" fillId="0" borderId="0" xfId="0" applyNumberFormat="1" applyFont="1" applyBorder="1" applyAlignment="1">
      <alignment horizontal="center" vertical="top"/>
    </xf>
    <xf numFmtId="0" fontId="6" fillId="5" borderId="0" xfId="0" applyFont="1" applyFill="1" applyBorder="1" applyAlignment="1">
      <alignment horizontal="center"/>
    </xf>
    <xf numFmtId="167" fontId="6" fillId="4" borderId="21" xfId="2" applyNumberFormat="1" applyFont="1" applyFill="1" applyBorder="1" applyAlignment="1">
      <alignment horizontal="center"/>
    </xf>
    <xf numFmtId="44" fontId="7" fillId="4" borderId="0" xfId="2" applyNumberFormat="1" applyFont="1" applyFill="1" applyBorder="1" applyAlignment="1">
      <alignment horizontal="center"/>
    </xf>
    <xf numFmtId="44" fontId="7" fillId="0" borderId="21" xfId="0" applyNumberFormat="1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44" fontId="7" fillId="0" borderId="20" xfId="2" applyNumberFormat="1" applyFont="1" applyBorder="1" applyAlignment="1">
      <alignment horizontal="center"/>
    </xf>
    <xf numFmtId="44" fontId="7" fillId="4" borderId="20" xfId="2" applyNumberFormat="1" applyFont="1" applyFill="1" applyBorder="1" applyAlignment="1">
      <alignment horizontal="center"/>
    </xf>
    <xf numFmtId="44" fontId="17" fillId="4" borderId="0" xfId="2" applyNumberFormat="1" applyFont="1" applyFill="1" applyBorder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2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621021981627296"/>
          <c:y val="7.3041168658698544E-2"/>
          <c:w val="0.81373920056867888"/>
          <c:h val="0.59018309962250726"/>
        </c:manualLayout>
      </c:layout>
      <c:scatterChart>
        <c:scatterStyle val="smoothMarker"/>
        <c:varyColors val="0"/>
        <c:ser>
          <c:idx val="0"/>
          <c:order val="0"/>
          <c:tx>
            <c:v>SPOT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EWMA!$A$2:$A$200</c:f>
              <c:numCache>
                <c:formatCode>m/d/yyyy</c:formatCode>
                <c:ptCount val="199"/>
                <c:pt idx="0">
                  <c:v>44098</c:v>
                </c:pt>
                <c:pt idx="1">
                  <c:v>44099</c:v>
                </c:pt>
                <c:pt idx="2">
                  <c:v>44102</c:v>
                </c:pt>
                <c:pt idx="3">
                  <c:v>44103</c:v>
                </c:pt>
                <c:pt idx="4">
                  <c:v>44104</c:v>
                </c:pt>
                <c:pt idx="5">
                  <c:v>44105</c:v>
                </c:pt>
                <c:pt idx="6">
                  <c:v>44106</c:v>
                </c:pt>
                <c:pt idx="7">
                  <c:v>44109</c:v>
                </c:pt>
                <c:pt idx="8">
                  <c:v>44110</c:v>
                </c:pt>
                <c:pt idx="9">
                  <c:v>44111</c:v>
                </c:pt>
                <c:pt idx="10">
                  <c:v>44112</c:v>
                </c:pt>
                <c:pt idx="11">
                  <c:v>44113</c:v>
                </c:pt>
                <c:pt idx="12">
                  <c:v>44116</c:v>
                </c:pt>
                <c:pt idx="13">
                  <c:v>44117</c:v>
                </c:pt>
                <c:pt idx="14">
                  <c:v>44118</c:v>
                </c:pt>
                <c:pt idx="15">
                  <c:v>44119</c:v>
                </c:pt>
                <c:pt idx="16">
                  <c:v>44120</c:v>
                </c:pt>
                <c:pt idx="17">
                  <c:v>44123</c:v>
                </c:pt>
                <c:pt idx="18">
                  <c:v>44124</c:v>
                </c:pt>
                <c:pt idx="19">
                  <c:v>44125</c:v>
                </c:pt>
                <c:pt idx="20">
                  <c:v>44126</c:v>
                </c:pt>
                <c:pt idx="21">
                  <c:v>44127</c:v>
                </c:pt>
                <c:pt idx="22">
                  <c:v>44130</c:v>
                </c:pt>
                <c:pt idx="23">
                  <c:v>44131</c:v>
                </c:pt>
                <c:pt idx="24">
                  <c:v>44132</c:v>
                </c:pt>
                <c:pt idx="25">
                  <c:v>44133</c:v>
                </c:pt>
                <c:pt idx="26">
                  <c:v>44134</c:v>
                </c:pt>
                <c:pt idx="27">
                  <c:v>44137</c:v>
                </c:pt>
                <c:pt idx="28">
                  <c:v>44138</c:v>
                </c:pt>
                <c:pt idx="29">
                  <c:v>44139</c:v>
                </c:pt>
                <c:pt idx="30">
                  <c:v>44140</c:v>
                </c:pt>
                <c:pt idx="31">
                  <c:v>44141</c:v>
                </c:pt>
                <c:pt idx="32">
                  <c:v>44144</c:v>
                </c:pt>
                <c:pt idx="33">
                  <c:v>44145</c:v>
                </c:pt>
                <c:pt idx="34">
                  <c:v>44146</c:v>
                </c:pt>
                <c:pt idx="35">
                  <c:v>44147</c:v>
                </c:pt>
                <c:pt idx="36">
                  <c:v>44148</c:v>
                </c:pt>
                <c:pt idx="37">
                  <c:v>44151</c:v>
                </c:pt>
                <c:pt idx="38">
                  <c:v>44152</c:v>
                </c:pt>
                <c:pt idx="39">
                  <c:v>44153</c:v>
                </c:pt>
                <c:pt idx="40">
                  <c:v>44154</c:v>
                </c:pt>
                <c:pt idx="41">
                  <c:v>44155</c:v>
                </c:pt>
                <c:pt idx="42">
                  <c:v>44158</c:v>
                </c:pt>
                <c:pt idx="43">
                  <c:v>44159</c:v>
                </c:pt>
                <c:pt idx="44">
                  <c:v>44160</c:v>
                </c:pt>
                <c:pt idx="45">
                  <c:v>44162</c:v>
                </c:pt>
                <c:pt idx="46">
                  <c:v>44165</c:v>
                </c:pt>
                <c:pt idx="47">
                  <c:v>44166</c:v>
                </c:pt>
                <c:pt idx="48">
                  <c:v>44167</c:v>
                </c:pt>
                <c:pt idx="49">
                  <c:v>44168</c:v>
                </c:pt>
                <c:pt idx="50">
                  <c:v>44169</c:v>
                </c:pt>
                <c:pt idx="51">
                  <c:v>44172</c:v>
                </c:pt>
                <c:pt idx="52">
                  <c:v>44173</c:v>
                </c:pt>
                <c:pt idx="53">
                  <c:v>44174</c:v>
                </c:pt>
                <c:pt idx="54">
                  <c:v>44175</c:v>
                </c:pt>
                <c:pt idx="55">
                  <c:v>44176</c:v>
                </c:pt>
                <c:pt idx="56">
                  <c:v>44179</c:v>
                </c:pt>
                <c:pt idx="57">
                  <c:v>44180</c:v>
                </c:pt>
                <c:pt idx="58">
                  <c:v>44181</c:v>
                </c:pt>
                <c:pt idx="59">
                  <c:v>44182</c:v>
                </c:pt>
                <c:pt idx="60">
                  <c:v>44183</c:v>
                </c:pt>
                <c:pt idx="61">
                  <c:v>44186</c:v>
                </c:pt>
                <c:pt idx="62">
                  <c:v>44187</c:v>
                </c:pt>
                <c:pt idx="63">
                  <c:v>44188</c:v>
                </c:pt>
                <c:pt idx="64">
                  <c:v>44189</c:v>
                </c:pt>
                <c:pt idx="65">
                  <c:v>44193</c:v>
                </c:pt>
                <c:pt idx="66">
                  <c:v>44194</c:v>
                </c:pt>
                <c:pt idx="67">
                  <c:v>44195</c:v>
                </c:pt>
                <c:pt idx="68">
                  <c:v>44196</c:v>
                </c:pt>
                <c:pt idx="69">
                  <c:v>44200</c:v>
                </c:pt>
                <c:pt idx="70">
                  <c:v>44201</c:v>
                </c:pt>
                <c:pt idx="71">
                  <c:v>44202</c:v>
                </c:pt>
                <c:pt idx="72">
                  <c:v>44203</c:v>
                </c:pt>
                <c:pt idx="73">
                  <c:v>44204</c:v>
                </c:pt>
                <c:pt idx="74">
                  <c:v>44207</c:v>
                </c:pt>
                <c:pt idx="75">
                  <c:v>44208</c:v>
                </c:pt>
                <c:pt idx="76">
                  <c:v>44209</c:v>
                </c:pt>
                <c:pt idx="77">
                  <c:v>44210</c:v>
                </c:pt>
                <c:pt idx="78">
                  <c:v>44211</c:v>
                </c:pt>
                <c:pt idx="79">
                  <c:v>44215</c:v>
                </c:pt>
                <c:pt idx="80">
                  <c:v>44216</c:v>
                </c:pt>
                <c:pt idx="81">
                  <c:v>44217</c:v>
                </c:pt>
                <c:pt idx="82">
                  <c:v>44218</c:v>
                </c:pt>
                <c:pt idx="83">
                  <c:v>44221</c:v>
                </c:pt>
                <c:pt idx="84">
                  <c:v>44222</c:v>
                </c:pt>
                <c:pt idx="85">
                  <c:v>44223</c:v>
                </c:pt>
                <c:pt idx="86">
                  <c:v>44224</c:v>
                </c:pt>
                <c:pt idx="87">
                  <c:v>44225</c:v>
                </c:pt>
                <c:pt idx="88">
                  <c:v>44228</c:v>
                </c:pt>
                <c:pt idx="89">
                  <c:v>44229</c:v>
                </c:pt>
                <c:pt idx="90">
                  <c:v>44230</c:v>
                </c:pt>
                <c:pt idx="91">
                  <c:v>44231</c:v>
                </c:pt>
                <c:pt idx="92">
                  <c:v>44232</c:v>
                </c:pt>
                <c:pt idx="93">
                  <c:v>44235</c:v>
                </c:pt>
                <c:pt idx="94">
                  <c:v>44236</c:v>
                </c:pt>
                <c:pt idx="95">
                  <c:v>44237</c:v>
                </c:pt>
                <c:pt idx="96">
                  <c:v>44238</c:v>
                </c:pt>
                <c:pt idx="97">
                  <c:v>44239</c:v>
                </c:pt>
              </c:numCache>
            </c:numRef>
          </c:xVal>
          <c:yVal>
            <c:numRef>
              <c:f>EWMA!$C$2:$C$200</c:f>
              <c:numCache>
                <c:formatCode>_(* #,##0.00_);_(* \(#,##0.00\);_(* "-"??_);_(@_)</c:formatCode>
                <c:ptCount val="199"/>
                <c:pt idx="0">
                  <c:v>8.74</c:v>
                </c:pt>
                <c:pt idx="1">
                  <c:v>9.07</c:v>
                </c:pt>
                <c:pt idx="2">
                  <c:v>9.4</c:v>
                </c:pt>
                <c:pt idx="3">
                  <c:v>8.99</c:v>
                </c:pt>
                <c:pt idx="4">
                  <c:v>9.01</c:v>
                </c:pt>
                <c:pt idx="5">
                  <c:v>9.16</c:v>
                </c:pt>
                <c:pt idx="6">
                  <c:v>9.44</c:v>
                </c:pt>
                <c:pt idx="7">
                  <c:v>9.4600000000000009</c:v>
                </c:pt>
                <c:pt idx="8">
                  <c:v>9.26</c:v>
                </c:pt>
                <c:pt idx="9">
                  <c:v>9.14</c:v>
                </c:pt>
                <c:pt idx="10">
                  <c:v>9.52</c:v>
                </c:pt>
                <c:pt idx="11">
                  <c:v>9.24</c:v>
                </c:pt>
                <c:pt idx="12">
                  <c:v>9.2899999999999991</c:v>
                </c:pt>
                <c:pt idx="13">
                  <c:v>9.24</c:v>
                </c:pt>
                <c:pt idx="14">
                  <c:v>9.2200000000000006</c:v>
                </c:pt>
                <c:pt idx="15">
                  <c:v>9.25</c:v>
                </c:pt>
                <c:pt idx="16">
                  <c:v>9.14</c:v>
                </c:pt>
                <c:pt idx="17">
                  <c:v>8.89</c:v>
                </c:pt>
                <c:pt idx="18">
                  <c:v>8.8800000000000008</c:v>
                </c:pt>
                <c:pt idx="19">
                  <c:v>8.89</c:v>
                </c:pt>
                <c:pt idx="20">
                  <c:v>8.99</c:v>
                </c:pt>
                <c:pt idx="21">
                  <c:v>9.18</c:v>
                </c:pt>
                <c:pt idx="22">
                  <c:v>8.66</c:v>
                </c:pt>
                <c:pt idx="23">
                  <c:v>9.02</c:v>
                </c:pt>
                <c:pt idx="24">
                  <c:v>8.48</c:v>
                </c:pt>
                <c:pt idx="25">
                  <c:v>8.6300000000000008</c:v>
                </c:pt>
                <c:pt idx="26">
                  <c:v>8.6999999999999993</c:v>
                </c:pt>
                <c:pt idx="27">
                  <c:v>9</c:v>
                </c:pt>
                <c:pt idx="28">
                  <c:v>9.1</c:v>
                </c:pt>
                <c:pt idx="29">
                  <c:v>8.7899999999999991</c:v>
                </c:pt>
                <c:pt idx="30">
                  <c:v>8.86</c:v>
                </c:pt>
                <c:pt idx="31">
                  <c:v>8.64</c:v>
                </c:pt>
                <c:pt idx="32">
                  <c:v>10.01</c:v>
                </c:pt>
                <c:pt idx="33">
                  <c:v>11.06</c:v>
                </c:pt>
                <c:pt idx="34">
                  <c:v>10.3</c:v>
                </c:pt>
                <c:pt idx="35">
                  <c:v>9.99</c:v>
                </c:pt>
                <c:pt idx="36">
                  <c:v>10.24</c:v>
                </c:pt>
                <c:pt idx="37">
                  <c:v>10.75</c:v>
                </c:pt>
                <c:pt idx="38">
                  <c:v>10.86</c:v>
                </c:pt>
                <c:pt idx="39">
                  <c:v>10.73</c:v>
                </c:pt>
                <c:pt idx="40">
                  <c:v>10.84</c:v>
                </c:pt>
                <c:pt idx="41">
                  <c:v>10.63</c:v>
                </c:pt>
                <c:pt idx="42">
                  <c:v>11.09</c:v>
                </c:pt>
                <c:pt idx="43">
                  <c:v>11.41</c:v>
                </c:pt>
                <c:pt idx="44">
                  <c:v>11.32</c:v>
                </c:pt>
                <c:pt idx="45">
                  <c:v>11.2</c:v>
                </c:pt>
                <c:pt idx="46">
                  <c:v>10.78</c:v>
                </c:pt>
                <c:pt idx="47">
                  <c:v>11.06</c:v>
                </c:pt>
                <c:pt idx="48">
                  <c:v>11.27</c:v>
                </c:pt>
                <c:pt idx="49">
                  <c:v>11.15</c:v>
                </c:pt>
                <c:pt idx="50">
                  <c:v>11.51</c:v>
                </c:pt>
                <c:pt idx="51">
                  <c:v>11.24</c:v>
                </c:pt>
                <c:pt idx="52">
                  <c:v>11.36</c:v>
                </c:pt>
                <c:pt idx="53">
                  <c:v>11.24</c:v>
                </c:pt>
                <c:pt idx="54">
                  <c:v>11.16</c:v>
                </c:pt>
                <c:pt idx="55">
                  <c:v>11.3</c:v>
                </c:pt>
                <c:pt idx="56">
                  <c:v>11.5</c:v>
                </c:pt>
                <c:pt idx="57">
                  <c:v>11.76</c:v>
                </c:pt>
                <c:pt idx="58">
                  <c:v>11.73</c:v>
                </c:pt>
                <c:pt idx="59">
                  <c:v>11.74</c:v>
                </c:pt>
                <c:pt idx="60">
                  <c:v>11.57</c:v>
                </c:pt>
                <c:pt idx="61">
                  <c:v>11.33</c:v>
                </c:pt>
                <c:pt idx="62">
                  <c:v>11.36</c:v>
                </c:pt>
                <c:pt idx="63">
                  <c:v>11.49</c:v>
                </c:pt>
                <c:pt idx="64">
                  <c:v>11.54</c:v>
                </c:pt>
                <c:pt idx="65">
                  <c:v>11.63</c:v>
                </c:pt>
                <c:pt idx="66">
                  <c:v>11.58</c:v>
                </c:pt>
                <c:pt idx="67">
                  <c:v>11.24</c:v>
                </c:pt>
                <c:pt idx="68">
                  <c:v>11.17</c:v>
                </c:pt>
                <c:pt idx="69">
                  <c:v>10.81</c:v>
                </c:pt>
                <c:pt idx="70">
                  <c:v>10.91</c:v>
                </c:pt>
                <c:pt idx="71">
                  <c:v>11.56</c:v>
                </c:pt>
                <c:pt idx="72">
                  <c:v>11.28</c:v>
                </c:pt>
                <c:pt idx="73">
                  <c:v>11.31</c:v>
                </c:pt>
                <c:pt idx="74">
                  <c:v>11.25</c:v>
                </c:pt>
                <c:pt idx="75">
                  <c:v>11.36</c:v>
                </c:pt>
                <c:pt idx="76">
                  <c:v>11.42</c:v>
                </c:pt>
                <c:pt idx="77">
                  <c:v>11.71</c:v>
                </c:pt>
                <c:pt idx="78">
                  <c:v>11.5</c:v>
                </c:pt>
                <c:pt idx="79">
                  <c:v>11.6</c:v>
                </c:pt>
                <c:pt idx="80">
                  <c:v>11.78</c:v>
                </c:pt>
                <c:pt idx="81">
                  <c:v>11.68</c:v>
                </c:pt>
                <c:pt idx="82">
                  <c:v>11.84</c:v>
                </c:pt>
                <c:pt idx="83">
                  <c:v>11.9</c:v>
                </c:pt>
                <c:pt idx="84">
                  <c:v>11.73</c:v>
                </c:pt>
                <c:pt idx="85">
                  <c:v>11.55</c:v>
                </c:pt>
                <c:pt idx="86">
                  <c:v>11.77</c:v>
                </c:pt>
                <c:pt idx="87">
                  <c:v>11.18</c:v>
                </c:pt>
                <c:pt idx="88">
                  <c:v>11.49</c:v>
                </c:pt>
                <c:pt idx="89">
                  <c:v>11.69</c:v>
                </c:pt>
                <c:pt idx="90">
                  <c:v>11.5</c:v>
                </c:pt>
                <c:pt idx="91">
                  <c:v>11.84</c:v>
                </c:pt>
                <c:pt idx="92">
                  <c:v>11.9</c:v>
                </c:pt>
                <c:pt idx="93">
                  <c:v>12.17</c:v>
                </c:pt>
                <c:pt idx="94">
                  <c:v>12.17</c:v>
                </c:pt>
                <c:pt idx="95">
                  <c:v>12.39</c:v>
                </c:pt>
                <c:pt idx="96">
                  <c:v>12.74</c:v>
                </c:pt>
                <c:pt idx="97">
                  <c:v>12.87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44-4260-ABBD-E738E952D5C2}"/>
            </c:ext>
          </c:extLst>
        </c:ser>
        <c:ser>
          <c:idx val="1"/>
          <c:order val="1"/>
          <c:tx>
            <c:v>p2SD</c:v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EWMA!$A$3:$A$200</c:f>
              <c:numCache>
                <c:formatCode>m/d/yyyy</c:formatCode>
                <c:ptCount val="198"/>
                <c:pt idx="0">
                  <c:v>44099</c:v>
                </c:pt>
                <c:pt idx="1">
                  <c:v>44102</c:v>
                </c:pt>
                <c:pt idx="2">
                  <c:v>44103</c:v>
                </c:pt>
                <c:pt idx="3">
                  <c:v>44104</c:v>
                </c:pt>
                <c:pt idx="4">
                  <c:v>44105</c:v>
                </c:pt>
                <c:pt idx="5">
                  <c:v>44106</c:v>
                </c:pt>
                <c:pt idx="6">
                  <c:v>44109</c:v>
                </c:pt>
                <c:pt idx="7">
                  <c:v>44110</c:v>
                </c:pt>
                <c:pt idx="8">
                  <c:v>44111</c:v>
                </c:pt>
                <c:pt idx="9">
                  <c:v>44112</c:v>
                </c:pt>
                <c:pt idx="10">
                  <c:v>44113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44123</c:v>
                </c:pt>
                <c:pt idx="17">
                  <c:v>44124</c:v>
                </c:pt>
                <c:pt idx="18">
                  <c:v>44125</c:v>
                </c:pt>
                <c:pt idx="19">
                  <c:v>44126</c:v>
                </c:pt>
                <c:pt idx="20">
                  <c:v>44127</c:v>
                </c:pt>
                <c:pt idx="21">
                  <c:v>44130</c:v>
                </c:pt>
                <c:pt idx="22">
                  <c:v>44131</c:v>
                </c:pt>
                <c:pt idx="23">
                  <c:v>44132</c:v>
                </c:pt>
                <c:pt idx="24">
                  <c:v>44133</c:v>
                </c:pt>
                <c:pt idx="25">
                  <c:v>44134</c:v>
                </c:pt>
                <c:pt idx="26">
                  <c:v>44137</c:v>
                </c:pt>
                <c:pt idx="27">
                  <c:v>44138</c:v>
                </c:pt>
                <c:pt idx="28">
                  <c:v>44139</c:v>
                </c:pt>
                <c:pt idx="29">
                  <c:v>44140</c:v>
                </c:pt>
                <c:pt idx="30">
                  <c:v>44141</c:v>
                </c:pt>
                <c:pt idx="31">
                  <c:v>44144</c:v>
                </c:pt>
                <c:pt idx="32">
                  <c:v>44145</c:v>
                </c:pt>
                <c:pt idx="33">
                  <c:v>44146</c:v>
                </c:pt>
                <c:pt idx="34">
                  <c:v>44147</c:v>
                </c:pt>
                <c:pt idx="35">
                  <c:v>44148</c:v>
                </c:pt>
                <c:pt idx="36">
                  <c:v>44151</c:v>
                </c:pt>
                <c:pt idx="37">
                  <c:v>44152</c:v>
                </c:pt>
                <c:pt idx="38">
                  <c:v>44153</c:v>
                </c:pt>
                <c:pt idx="39">
                  <c:v>44154</c:v>
                </c:pt>
                <c:pt idx="40">
                  <c:v>44155</c:v>
                </c:pt>
                <c:pt idx="41">
                  <c:v>44158</c:v>
                </c:pt>
                <c:pt idx="42">
                  <c:v>44159</c:v>
                </c:pt>
                <c:pt idx="43">
                  <c:v>44160</c:v>
                </c:pt>
                <c:pt idx="44">
                  <c:v>44162</c:v>
                </c:pt>
                <c:pt idx="45">
                  <c:v>44165</c:v>
                </c:pt>
                <c:pt idx="46">
                  <c:v>44166</c:v>
                </c:pt>
                <c:pt idx="47">
                  <c:v>44167</c:v>
                </c:pt>
                <c:pt idx="48">
                  <c:v>44168</c:v>
                </c:pt>
                <c:pt idx="49">
                  <c:v>44169</c:v>
                </c:pt>
                <c:pt idx="50">
                  <c:v>44172</c:v>
                </c:pt>
                <c:pt idx="51">
                  <c:v>44173</c:v>
                </c:pt>
                <c:pt idx="52">
                  <c:v>44174</c:v>
                </c:pt>
                <c:pt idx="53">
                  <c:v>44175</c:v>
                </c:pt>
                <c:pt idx="54">
                  <c:v>44176</c:v>
                </c:pt>
                <c:pt idx="55">
                  <c:v>44179</c:v>
                </c:pt>
                <c:pt idx="56">
                  <c:v>44180</c:v>
                </c:pt>
                <c:pt idx="57">
                  <c:v>44181</c:v>
                </c:pt>
                <c:pt idx="58">
                  <c:v>44182</c:v>
                </c:pt>
                <c:pt idx="59">
                  <c:v>44183</c:v>
                </c:pt>
                <c:pt idx="60">
                  <c:v>44186</c:v>
                </c:pt>
                <c:pt idx="61">
                  <c:v>44187</c:v>
                </c:pt>
                <c:pt idx="62">
                  <c:v>44188</c:v>
                </c:pt>
                <c:pt idx="63">
                  <c:v>44189</c:v>
                </c:pt>
                <c:pt idx="64">
                  <c:v>44193</c:v>
                </c:pt>
                <c:pt idx="65">
                  <c:v>44194</c:v>
                </c:pt>
                <c:pt idx="66">
                  <c:v>44195</c:v>
                </c:pt>
                <c:pt idx="67">
                  <c:v>44196</c:v>
                </c:pt>
                <c:pt idx="68">
                  <c:v>44200</c:v>
                </c:pt>
                <c:pt idx="69">
                  <c:v>44201</c:v>
                </c:pt>
                <c:pt idx="70">
                  <c:v>44202</c:v>
                </c:pt>
                <c:pt idx="71">
                  <c:v>44203</c:v>
                </c:pt>
                <c:pt idx="72">
                  <c:v>44204</c:v>
                </c:pt>
                <c:pt idx="73">
                  <c:v>44207</c:v>
                </c:pt>
                <c:pt idx="74">
                  <c:v>44208</c:v>
                </c:pt>
                <c:pt idx="75">
                  <c:v>44209</c:v>
                </c:pt>
                <c:pt idx="76">
                  <c:v>44210</c:v>
                </c:pt>
                <c:pt idx="77">
                  <c:v>44211</c:v>
                </c:pt>
                <c:pt idx="78">
                  <c:v>44215</c:v>
                </c:pt>
                <c:pt idx="79">
                  <c:v>44216</c:v>
                </c:pt>
                <c:pt idx="80">
                  <c:v>44217</c:v>
                </c:pt>
                <c:pt idx="81">
                  <c:v>44218</c:v>
                </c:pt>
                <c:pt idx="82">
                  <c:v>44221</c:v>
                </c:pt>
                <c:pt idx="83">
                  <c:v>44222</c:v>
                </c:pt>
                <c:pt idx="84">
                  <c:v>44223</c:v>
                </c:pt>
                <c:pt idx="85">
                  <c:v>44224</c:v>
                </c:pt>
                <c:pt idx="86">
                  <c:v>44225</c:v>
                </c:pt>
                <c:pt idx="87">
                  <c:v>44228</c:v>
                </c:pt>
                <c:pt idx="88">
                  <c:v>44229</c:v>
                </c:pt>
                <c:pt idx="89">
                  <c:v>44230</c:v>
                </c:pt>
                <c:pt idx="90">
                  <c:v>44231</c:v>
                </c:pt>
                <c:pt idx="91">
                  <c:v>44232</c:v>
                </c:pt>
                <c:pt idx="92">
                  <c:v>44235</c:v>
                </c:pt>
                <c:pt idx="93">
                  <c:v>44236</c:v>
                </c:pt>
                <c:pt idx="94">
                  <c:v>44237</c:v>
                </c:pt>
                <c:pt idx="95">
                  <c:v>44238</c:v>
                </c:pt>
                <c:pt idx="96">
                  <c:v>44239</c:v>
                </c:pt>
              </c:numCache>
            </c:numRef>
          </c:xVal>
          <c:yVal>
            <c:numRef>
              <c:f>EWMA!$H$3:$H$200</c:f>
              <c:numCache>
                <c:formatCode>_(* #,##0.00_);_(* \(#,##0.00\);_(* "-"??_);_(@_)</c:formatCode>
                <c:ptCount val="198"/>
                <c:pt idx="0">
                  <c:v>9.6157858333583661</c:v>
                </c:pt>
                <c:pt idx="1">
                  <c:v>9.9743557294080691</c:v>
                </c:pt>
                <c:pt idx="2">
                  <c:v>9.545341113934704</c:v>
                </c:pt>
                <c:pt idx="3">
                  <c:v>9.584404559203918</c:v>
                </c:pt>
                <c:pt idx="4">
                  <c:v>9.7262651589262674</c:v>
                </c:pt>
                <c:pt idx="5">
                  <c:v>10.010925784238744</c:v>
                </c:pt>
                <c:pt idx="6">
                  <c:v>10.031988194881285</c:v>
                </c:pt>
                <c:pt idx="7">
                  <c:v>9.8029236486690152</c:v>
                </c:pt>
                <c:pt idx="8">
                  <c:v>9.6682991862542131</c:v>
                </c:pt>
                <c:pt idx="9">
                  <c:v>10.056957365416206</c:v>
                </c:pt>
                <c:pt idx="10">
                  <c:v>9.7778807603403415</c:v>
                </c:pt>
                <c:pt idx="11">
                  <c:v>9.8316339973949667</c:v>
                </c:pt>
                <c:pt idx="12">
                  <c:v>9.7628782752951615</c:v>
                </c:pt>
                <c:pt idx="13">
                  <c:v>9.7264389779192939</c:v>
                </c:pt>
                <c:pt idx="14">
                  <c:v>9.7427063090623136</c:v>
                </c:pt>
                <c:pt idx="15">
                  <c:v>9.6122398449005733</c:v>
                </c:pt>
                <c:pt idx="16">
                  <c:v>9.3383676713617607</c:v>
                </c:pt>
                <c:pt idx="17">
                  <c:v>9.3306691015620977</c:v>
                </c:pt>
                <c:pt idx="18">
                  <c:v>9.327459417509262</c:v>
                </c:pt>
                <c:pt idx="19">
                  <c:v>9.4189321797456032</c:v>
                </c:pt>
                <c:pt idx="20">
                  <c:v>9.6076235872387041</c:v>
                </c:pt>
                <c:pt idx="21">
                  <c:v>9.0610502120839396</c:v>
                </c:pt>
                <c:pt idx="22">
                  <c:v>9.500019831689098</c:v>
                </c:pt>
                <c:pt idx="23">
                  <c:v>8.9491126558661254</c:v>
                </c:pt>
                <c:pt idx="24">
                  <c:v>9.1613816993575643</c:v>
                </c:pt>
                <c:pt idx="25">
                  <c:v>9.2247215593336769</c:v>
                </c:pt>
                <c:pt idx="26">
                  <c:v>9.5274830368803372</c:v>
                </c:pt>
                <c:pt idx="27">
                  <c:v>9.638730343056622</c:v>
                </c:pt>
                <c:pt idx="28">
                  <c:v>9.2967640323033542</c:v>
                </c:pt>
                <c:pt idx="29">
                  <c:v>9.3775844188713897</c:v>
                </c:pt>
                <c:pt idx="30">
                  <c:v>9.1305066409856295</c:v>
                </c:pt>
                <c:pt idx="31">
                  <c:v>10.574600300454494</c:v>
                </c:pt>
                <c:pt idx="32">
                  <c:v>12.060884019967915</c:v>
                </c:pt>
                <c:pt idx="33">
                  <c:v>11.334427824325871</c:v>
                </c:pt>
                <c:pt idx="34">
                  <c:v>11.023245843285272</c:v>
                </c:pt>
                <c:pt idx="35">
                  <c:v>11.278218927493615</c:v>
                </c:pt>
                <c:pt idx="36">
                  <c:v>11.814710662383384</c:v>
                </c:pt>
                <c:pt idx="37">
                  <c:v>11.93442038089346</c:v>
                </c:pt>
                <c:pt idx="38">
                  <c:v>11.760609977065666</c:v>
                </c:pt>
                <c:pt idx="39">
                  <c:v>11.851480818257384</c:v>
                </c:pt>
                <c:pt idx="40">
                  <c:v>11.593134571870214</c:v>
                </c:pt>
                <c:pt idx="41">
                  <c:v>12.069982939026254</c:v>
                </c:pt>
                <c:pt idx="42">
                  <c:v>12.415817157773002</c:v>
                </c:pt>
                <c:pt idx="43">
                  <c:v>12.300260806707671</c:v>
                </c:pt>
                <c:pt idx="44">
                  <c:v>12.141326587375831</c:v>
                </c:pt>
                <c:pt idx="45">
                  <c:v>11.660226815921225</c:v>
                </c:pt>
                <c:pt idx="46">
                  <c:v>11.95973577805705</c:v>
                </c:pt>
                <c:pt idx="47">
                  <c:v>12.170093311423374</c:v>
                </c:pt>
                <c:pt idx="48">
                  <c:v>12.01947265514878</c:v>
                </c:pt>
                <c:pt idx="49">
                  <c:v>12.382293447848348</c:v>
                </c:pt>
                <c:pt idx="50">
                  <c:v>12.084213567156102</c:v>
                </c:pt>
                <c:pt idx="51">
                  <c:v>12.197715522167442</c:v>
                </c:pt>
                <c:pt idx="52">
                  <c:v>12.045740542596254</c:v>
                </c:pt>
                <c:pt idx="53">
                  <c:v>11.93780433472066</c:v>
                </c:pt>
                <c:pt idx="54">
                  <c:v>12.064592600137797</c:v>
                </c:pt>
                <c:pt idx="55">
                  <c:v>12.257682754626163</c:v>
                </c:pt>
                <c:pt idx="56">
                  <c:v>12.51797852769262</c:v>
                </c:pt>
                <c:pt idx="57">
                  <c:v>12.474186298675722</c:v>
                </c:pt>
                <c:pt idx="58">
                  <c:v>12.462279903534558</c:v>
                </c:pt>
                <c:pt idx="59">
                  <c:v>12.260152962267526</c:v>
                </c:pt>
                <c:pt idx="60">
                  <c:v>11.990231022654385</c:v>
                </c:pt>
                <c:pt idx="61">
                  <c:v>12.012328147918296</c:v>
                </c:pt>
                <c:pt idx="62">
                  <c:v>12.129866363689002</c:v>
                </c:pt>
                <c:pt idx="63">
                  <c:v>12.166385037891933</c:v>
                </c:pt>
                <c:pt idx="64">
                  <c:v>12.242538958396803</c:v>
                </c:pt>
                <c:pt idx="65">
                  <c:v>12.172965424575169</c:v>
                </c:pt>
                <c:pt idx="66">
                  <c:v>11.798525751739286</c:v>
                </c:pt>
                <c:pt idx="67">
                  <c:v>11.732304199936484</c:v>
                </c:pt>
                <c:pt idx="68">
                  <c:v>11.338639902051744</c:v>
                </c:pt>
                <c:pt idx="69">
                  <c:v>11.456107582269222</c:v>
                </c:pt>
                <c:pt idx="70">
                  <c:v>12.123434388109994</c:v>
                </c:pt>
                <c:pt idx="71">
                  <c:v>11.901611585597816</c:v>
                </c:pt>
                <c:pt idx="72">
                  <c:v>11.929361441070959</c:v>
                </c:pt>
                <c:pt idx="73">
                  <c:v>11.847486902970132</c:v>
                </c:pt>
                <c:pt idx="74">
                  <c:v>11.945697728324131</c:v>
                </c:pt>
                <c:pt idx="75">
                  <c:v>11.993443985176347</c:v>
                </c:pt>
                <c:pt idx="76">
                  <c:v>12.280893404770763</c:v>
                </c:pt>
                <c:pt idx="77">
                  <c:v>12.061635292321133</c:v>
                </c:pt>
                <c:pt idx="78">
                  <c:v>12.158804699473594</c:v>
                </c:pt>
                <c:pt idx="79">
                  <c:v>12.332452379144559</c:v>
                </c:pt>
                <c:pt idx="80">
                  <c:v>12.21833472327039</c:v>
                </c:pt>
                <c:pt idx="81">
                  <c:v>12.371390481065974</c:v>
                </c:pt>
                <c:pt idx="82">
                  <c:v>12.42385271022307</c:v>
                </c:pt>
                <c:pt idx="83">
                  <c:v>12.2314803761411</c:v>
                </c:pt>
                <c:pt idx="84">
                  <c:v>12.035615911231664</c:v>
                </c:pt>
                <c:pt idx="85">
                  <c:v>12.258005686819077</c:v>
                </c:pt>
                <c:pt idx="86">
                  <c:v>11.641150637510696</c:v>
                </c:pt>
                <c:pt idx="87">
                  <c:v>12.033083048880785</c:v>
                </c:pt>
                <c:pt idx="88">
                  <c:v>12.248133343545181</c:v>
                </c:pt>
                <c:pt idx="89">
                  <c:v>12.041140251337053</c:v>
                </c:pt>
                <c:pt idx="90">
                  <c:v>12.388465342670681</c:v>
                </c:pt>
                <c:pt idx="91">
                  <c:v>12.46079493337276</c:v>
                </c:pt>
                <c:pt idx="92">
                  <c:v>12.726863241829534</c:v>
                </c:pt>
                <c:pt idx="93">
                  <c:v>12.726222156554885</c:v>
                </c:pt>
                <c:pt idx="94">
                  <c:v>12.939026035223394</c:v>
                </c:pt>
                <c:pt idx="95">
                  <c:v>13.298642339077208</c:v>
                </c:pt>
                <c:pt idx="96">
                  <c:v>13.44464981325793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44-4260-ABBD-E738E952D5C2}"/>
            </c:ext>
          </c:extLst>
        </c:ser>
        <c:ser>
          <c:idx val="2"/>
          <c:order val="2"/>
          <c:tx>
            <c:v>m2SD</c:v>
          </c:tx>
          <c:spPr>
            <a:ln w="25400" cap="rnd">
              <a:solidFill>
                <a:schemeClr val="accent3">
                  <a:lumMod val="60000"/>
                  <a:lumOff val="4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EWMA!$A$3:$A$200</c:f>
              <c:numCache>
                <c:formatCode>m/d/yyyy</c:formatCode>
                <c:ptCount val="198"/>
                <c:pt idx="0">
                  <c:v>44099</c:v>
                </c:pt>
                <c:pt idx="1">
                  <c:v>44102</c:v>
                </c:pt>
                <c:pt idx="2">
                  <c:v>44103</c:v>
                </c:pt>
                <c:pt idx="3">
                  <c:v>44104</c:v>
                </c:pt>
                <c:pt idx="4">
                  <c:v>44105</c:v>
                </c:pt>
                <c:pt idx="5">
                  <c:v>44106</c:v>
                </c:pt>
                <c:pt idx="6">
                  <c:v>44109</c:v>
                </c:pt>
                <c:pt idx="7">
                  <c:v>44110</c:v>
                </c:pt>
                <c:pt idx="8">
                  <c:v>44111</c:v>
                </c:pt>
                <c:pt idx="9">
                  <c:v>44112</c:v>
                </c:pt>
                <c:pt idx="10">
                  <c:v>44113</c:v>
                </c:pt>
                <c:pt idx="11">
                  <c:v>44116</c:v>
                </c:pt>
                <c:pt idx="12">
                  <c:v>44117</c:v>
                </c:pt>
                <c:pt idx="13">
                  <c:v>44118</c:v>
                </c:pt>
                <c:pt idx="14">
                  <c:v>44119</c:v>
                </c:pt>
                <c:pt idx="15">
                  <c:v>44120</c:v>
                </c:pt>
                <c:pt idx="16">
                  <c:v>44123</c:v>
                </c:pt>
                <c:pt idx="17">
                  <c:v>44124</c:v>
                </c:pt>
                <c:pt idx="18">
                  <c:v>44125</c:v>
                </c:pt>
                <c:pt idx="19">
                  <c:v>44126</c:v>
                </c:pt>
                <c:pt idx="20">
                  <c:v>44127</c:v>
                </c:pt>
                <c:pt idx="21">
                  <c:v>44130</c:v>
                </c:pt>
                <c:pt idx="22">
                  <c:v>44131</c:v>
                </c:pt>
                <c:pt idx="23">
                  <c:v>44132</c:v>
                </c:pt>
                <c:pt idx="24">
                  <c:v>44133</c:v>
                </c:pt>
                <c:pt idx="25">
                  <c:v>44134</c:v>
                </c:pt>
                <c:pt idx="26">
                  <c:v>44137</c:v>
                </c:pt>
                <c:pt idx="27">
                  <c:v>44138</c:v>
                </c:pt>
                <c:pt idx="28">
                  <c:v>44139</c:v>
                </c:pt>
                <c:pt idx="29">
                  <c:v>44140</c:v>
                </c:pt>
                <c:pt idx="30">
                  <c:v>44141</c:v>
                </c:pt>
                <c:pt idx="31">
                  <c:v>44144</c:v>
                </c:pt>
                <c:pt idx="32">
                  <c:v>44145</c:v>
                </c:pt>
                <c:pt idx="33">
                  <c:v>44146</c:v>
                </c:pt>
                <c:pt idx="34">
                  <c:v>44147</c:v>
                </c:pt>
                <c:pt idx="35">
                  <c:v>44148</c:v>
                </c:pt>
                <c:pt idx="36">
                  <c:v>44151</c:v>
                </c:pt>
                <c:pt idx="37">
                  <c:v>44152</c:v>
                </c:pt>
                <c:pt idx="38">
                  <c:v>44153</c:v>
                </c:pt>
                <c:pt idx="39">
                  <c:v>44154</c:v>
                </c:pt>
                <c:pt idx="40">
                  <c:v>44155</c:v>
                </c:pt>
                <c:pt idx="41">
                  <c:v>44158</c:v>
                </c:pt>
                <c:pt idx="42">
                  <c:v>44159</c:v>
                </c:pt>
                <c:pt idx="43">
                  <c:v>44160</c:v>
                </c:pt>
                <c:pt idx="44">
                  <c:v>44162</c:v>
                </c:pt>
                <c:pt idx="45">
                  <c:v>44165</c:v>
                </c:pt>
                <c:pt idx="46">
                  <c:v>44166</c:v>
                </c:pt>
                <c:pt idx="47">
                  <c:v>44167</c:v>
                </c:pt>
                <c:pt idx="48">
                  <c:v>44168</c:v>
                </c:pt>
                <c:pt idx="49">
                  <c:v>44169</c:v>
                </c:pt>
                <c:pt idx="50">
                  <c:v>44172</c:v>
                </c:pt>
                <c:pt idx="51">
                  <c:v>44173</c:v>
                </c:pt>
                <c:pt idx="52">
                  <c:v>44174</c:v>
                </c:pt>
                <c:pt idx="53">
                  <c:v>44175</c:v>
                </c:pt>
                <c:pt idx="54">
                  <c:v>44176</c:v>
                </c:pt>
                <c:pt idx="55">
                  <c:v>44179</c:v>
                </c:pt>
                <c:pt idx="56">
                  <c:v>44180</c:v>
                </c:pt>
                <c:pt idx="57">
                  <c:v>44181</c:v>
                </c:pt>
                <c:pt idx="58">
                  <c:v>44182</c:v>
                </c:pt>
                <c:pt idx="59">
                  <c:v>44183</c:v>
                </c:pt>
                <c:pt idx="60">
                  <c:v>44186</c:v>
                </c:pt>
                <c:pt idx="61">
                  <c:v>44187</c:v>
                </c:pt>
                <c:pt idx="62">
                  <c:v>44188</c:v>
                </c:pt>
                <c:pt idx="63">
                  <c:v>44189</c:v>
                </c:pt>
                <c:pt idx="64">
                  <c:v>44193</c:v>
                </c:pt>
                <c:pt idx="65">
                  <c:v>44194</c:v>
                </c:pt>
                <c:pt idx="66">
                  <c:v>44195</c:v>
                </c:pt>
                <c:pt idx="67">
                  <c:v>44196</c:v>
                </c:pt>
                <c:pt idx="68">
                  <c:v>44200</c:v>
                </c:pt>
                <c:pt idx="69">
                  <c:v>44201</c:v>
                </c:pt>
                <c:pt idx="70">
                  <c:v>44202</c:v>
                </c:pt>
                <c:pt idx="71">
                  <c:v>44203</c:v>
                </c:pt>
                <c:pt idx="72">
                  <c:v>44204</c:v>
                </c:pt>
                <c:pt idx="73">
                  <c:v>44207</c:v>
                </c:pt>
                <c:pt idx="74">
                  <c:v>44208</c:v>
                </c:pt>
                <c:pt idx="75">
                  <c:v>44209</c:v>
                </c:pt>
                <c:pt idx="76">
                  <c:v>44210</c:v>
                </c:pt>
                <c:pt idx="77">
                  <c:v>44211</c:v>
                </c:pt>
                <c:pt idx="78">
                  <c:v>44215</c:v>
                </c:pt>
                <c:pt idx="79">
                  <c:v>44216</c:v>
                </c:pt>
                <c:pt idx="80">
                  <c:v>44217</c:v>
                </c:pt>
                <c:pt idx="81">
                  <c:v>44218</c:v>
                </c:pt>
                <c:pt idx="82">
                  <c:v>44221</c:v>
                </c:pt>
                <c:pt idx="83">
                  <c:v>44222</c:v>
                </c:pt>
                <c:pt idx="84">
                  <c:v>44223</c:v>
                </c:pt>
                <c:pt idx="85">
                  <c:v>44224</c:v>
                </c:pt>
                <c:pt idx="86">
                  <c:v>44225</c:v>
                </c:pt>
                <c:pt idx="87">
                  <c:v>44228</c:v>
                </c:pt>
                <c:pt idx="88">
                  <c:v>44229</c:v>
                </c:pt>
                <c:pt idx="89">
                  <c:v>44230</c:v>
                </c:pt>
                <c:pt idx="90">
                  <c:v>44231</c:v>
                </c:pt>
                <c:pt idx="91">
                  <c:v>44232</c:v>
                </c:pt>
                <c:pt idx="92">
                  <c:v>44235</c:v>
                </c:pt>
                <c:pt idx="93">
                  <c:v>44236</c:v>
                </c:pt>
                <c:pt idx="94">
                  <c:v>44237</c:v>
                </c:pt>
                <c:pt idx="95">
                  <c:v>44238</c:v>
                </c:pt>
                <c:pt idx="96">
                  <c:v>44239</c:v>
                </c:pt>
              </c:numCache>
            </c:numRef>
          </c:xVal>
          <c:yVal>
            <c:numRef>
              <c:f>EWMA!$G$3:$G$200</c:f>
              <c:numCache>
                <c:formatCode>_(* #,##0.00_);_(* \(#,##0.00\);_(* "-"??_);_(@_)</c:formatCode>
                <c:ptCount val="198"/>
                <c:pt idx="0">
                  <c:v>8.5242141666416344</c:v>
                </c:pt>
                <c:pt idx="1">
                  <c:v>8.8256442705919333</c:v>
                </c:pt>
                <c:pt idx="2">
                  <c:v>8.4346588860652965</c:v>
                </c:pt>
                <c:pt idx="3">
                  <c:v>8.4355954407960816</c:v>
                </c:pt>
                <c:pt idx="4">
                  <c:v>8.5937348410737329</c:v>
                </c:pt>
                <c:pt idx="5">
                  <c:v>8.8690742157612537</c:v>
                </c:pt>
                <c:pt idx="6">
                  <c:v>8.8880118051187171</c:v>
                </c:pt>
                <c:pt idx="7">
                  <c:v>8.7170763513309844</c:v>
                </c:pt>
                <c:pt idx="8">
                  <c:v>8.611700813745788</c:v>
                </c:pt>
                <c:pt idx="9">
                  <c:v>8.983042634583791</c:v>
                </c:pt>
                <c:pt idx="10">
                  <c:v>8.7021192396596572</c:v>
                </c:pt>
                <c:pt idx="11">
                  <c:v>8.7483660026050316</c:v>
                </c:pt>
                <c:pt idx="12">
                  <c:v>8.7171217247048389</c:v>
                </c:pt>
                <c:pt idx="13">
                  <c:v>8.7135610220807074</c:v>
                </c:pt>
                <c:pt idx="14">
                  <c:v>8.7572936909376864</c:v>
                </c:pt>
                <c:pt idx="15">
                  <c:v>8.6677601550994279</c:v>
                </c:pt>
                <c:pt idx="16">
                  <c:v>8.4416323286382422</c:v>
                </c:pt>
                <c:pt idx="17">
                  <c:v>8.4293308984379021</c:v>
                </c:pt>
                <c:pt idx="18">
                  <c:v>8.4525405824907391</c:v>
                </c:pt>
                <c:pt idx="19">
                  <c:v>8.5610678202543973</c:v>
                </c:pt>
                <c:pt idx="20">
                  <c:v>8.7523764127612953</c:v>
                </c:pt>
                <c:pt idx="21">
                  <c:v>8.2589497879160607</c:v>
                </c:pt>
                <c:pt idx="22">
                  <c:v>8.5399801683109011</c:v>
                </c:pt>
                <c:pt idx="23">
                  <c:v>8.0108873441338755</c:v>
                </c:pt>
                <c:pt idx="24">
                  <c:v>8.0986183006424373</c:v>
                </c:pt>
                <c:pt idx="25">
                  <c:v>8.1752784406663217</c:v>
                </c:pt>
                <c:pt idx="26">
                  <c:v>8.4725169631196628</c:v>
                </c:pt>
                <c:pt idx="27">
                  <c:v>8.5612696569433773</c:v>
                </c:pt>
                <c:pt idx="28">
                  <c:v>8.2832359676966441</c:v>
                </c:pt>
                <c:pt idx="29">
                  <c:v>8.3424155811286074</c:v>
                </c:pt>
                <c:pt idx="30">
                  <c:v>8.1494933590143734</c:v>
                </c:pt>
                <c:pt idx="31">
                  <c:v>9.4453996995455061</c:v>
                </c:pt>
                <c:pt idx="32">
                  <c:v>10.059115980032086</c:v>
                </c:pt>
                <c:pt idx="33">
                  <c:v>9.2655721756741301</c:v>
                </c:pt>
                <c:pt idx="34">
                  <c:v>8.9567541567147302</c:v>
                </c:pt>
                <c:pt idx="35">
                  <c:v>9.2017810725063853</c:v>
                </c:pt>
                <c:pt idx="36">
                  <c:v>9.6852893376166165</c:v>
                </c:pt>
                <c:pt idx="37">
                  <c:v>9.7855796191065387</c:v>
                </c:pt>
                <c:pt idx="38">
                  <c:v>9.6993900229343328</c:v>
                </c:pt>
                <c:pt idx="39">
                  <c:v>9.8285191817426156</c:v>
                </c:pt>
                <c:pt idx="40">
                  <c:v>9.666865428129789</c:v>
                </c:pt>
                <c:pt idx="41">
                  <c:v>10.110017060973748</c:v>
                </c:pt>
                <c:pt idx="42">
                  <c:v>10.404182842226996</c:v>
                </c:pt>
                <c:pt idx="43">
                  <c:v>10.339739193292331</c:v>
                </c:pt>
                <c:pt idx="44">
                  <c:v>10.258673412624169</c:v>
                </c:pt>
                <c:pt idx="45">
                  <c:v>9.899773184078775</c:v>
                </c:pt>
                <c:pt idx="46">
                  <c:v>10.160264221942953</c:v>
                </c:pt>
                <c:pt idx="47">
                  <c:v>10.369906688576624</c:v>
                </c:pt>
                <c:pt idx="48">
                  <c:v>10.280527344851222</c:v>
                </c:pt>
                <c:pt idx="49">
                  <c:v>10.637706552151654</c:v>
                </c:pt>
                <c:pt idx="50">
                  <c:v>10.395786432843899</c:v>
                </c:pt>
                <c:pt idx="51">
                  <c:v>10.522284477832557</c:v>
                </c:pt>
                <c:pt idx="52">
                  <c:v>10.434259457403744</c:v>
                </c:pt>
                <c:pt idx="53">
                  <c:v>10.38219566527934</c:v>
                </c:pt>
                <c:pt idx="54">
                  <c:v>10.535407399862205</c:v>
                </c:pt>
                <c:pt idx="55">
                  <c:v>10.742317245373837</c:v>
                </c:pt>
                <c:pt idx="56">
                  <c:v>11.00202147230738</c:v>
                </c:pt>
                <c:pt idx="57">
                  <c:v>10.985813701324279</c:v>
                </c:pt>
                <c:pt idx="58">
                  <c:v>11.017720096465442</c:v>
                </c:pt>
                <c:pt idx="59">
                  <c:v>10.879847037732475</c:v>
                </c:pt>
                <c:pt idx="60">
                  <c:v>10.669768977345615</c:v>
                </c:pt>
                <c:pt idx="61">
                  <c:v>10.707671852081702</c:v>
                </c:pt>
                <c:pt idx="62">
                  <c:v>10.850133636310996</c:v>
                </c:pt>
                <c:pt idx="63">
                  <c:v>10.913614962108067</c:v>
                </c:pt>
                <c:pt idx="64">
                  <c:v>11.017461041603198</c:v>
                </c:pt>
                <c:pt idx="65">
                  <c:v>10.987034575424831</c:v>
                </c:pt>
                <c:pt idx="66">
                  <c:v>10.681474248260715</c:v>
                </c:pt>
                <c:pt idx="67">
                  <c:v>10.607695800063517</c:v>
                </c:pt>
                <c:pt idx="68">
                  <c:v>10.281360097948257</c:v>
                </c:pt>
                <c:pt idx="69">
                  <c:v>10.363892417730778</c:v>
                </c:pt>
                <c:pt idx="70">
                  <c:v>10.996565611890007</c:v>
                </c:pt>
                <c:pt idx="71">
                  <c:v>10.658388414402181</c:v>
                </c:pt>
                <c:pt idx="72">
                  <c:v>10.690638558929043</c:v>
                </c:pt>
                <c:pt idx="73">
                  <c:v>10.652513097029868</c:v>
                </c:pt>
                <c:pt idx="74">
                  <c:v>10.774302271675868</c:v>
                </c:pt>
                <c:pt idx="75">
                  <c:v>10.846556014823655</c:v>
                </c:pt>
                <c:pt idx="76">
                  <c:v>11.139106595229238</c:v>
                </c:pt>
                <c:pt idx="77">
                  <c:v>10.938364707678867</c:v>
                </c:pt>
                <c:pt idx="78">
                  <c:v>11.041195300526406</c:v>
                </c:pt>
                <c:pt idx="79">
                  <c:v>11.227547620855439</c:v>
                </c:pt>
                <c:pt idx="80">
                  <c:v>11.14166527672961</c:v>
                </c:pt>
                <c:pt idx="81">
                  <c:v>11.308609518934025</c:v>
                </c:pt>
                <c:pt idx="82">
                  <c:v>11.376147289776931</c:v>
                </c:pt>
                <c:pt idx="83">
                  <c:v>11.228519623858899</c:v>
                </c:pt>
                <c:pt idx="84">
                  <c:v>11.064384088768337</c:v>
                </c:pt>
                <c:pt idx="85">
                  <c:v>11.28199431318092</c:v>
                </c:pt>
                <c:pt idx="86">
                  <c:v>10.718849362489301</c:v>
                </c:pt>
                <c:pt idx="87">
                  <c:v>10.946916951119215</c:v>
                </c:pt>
                <c:pt idx="88">
                  <c:v>11.131866656454818</c:v>
                </c:pt>
                <c:pt idx="89">
                  <c:v>10.958859748662947</c:v>
                </c:pt>
                <c:pt idx="90">
                  <c:v>11.291534657329318</c:v>
                </c:pt>
                <c:pt idx="91">
                  <c:v>11.33920506662724</c:v>
                </c:pt>
                <c:pt idx="92">
                  <c:v>11.613136758170466</c:v>
                </c:pt>
                <c:pt idx="93">
                  <c:v>11.613777843445115</c:v>
                </c:pt>
                <c:pt idx="94">
                  <c:v>11.840973964776607</c:v>
                </c:pt>
                <c:pt idx="95">
                  <c:v>12.181357660922792</c:v>
                </c:pt>
                <c:pt idx="96">
                  <c:v>12.29535018674207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44-4260-ABBD-E738E952D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28640"/>
        <c:axId val="30912000"/>
      </c:scatterChart>
      <c:valAx>
        <c:axId val="30928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Date (mm/dd)</a:t>
                </a:r>
              </a:p>
            </c:rich>
          </c:tx>
          <c:layout>
            <c:manualLayout>
              <c:xMode val="edge"/>
              <c:yMode val="edge"/>
              <c:x val="0.46797854695246432"/>
              <c:y val="0.764142380608798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12000"/>
        <c:crosses val="autoZero"/>
        <c:crossBetween val="midCat"/>
      </c:valAx>
      <c:valAx>
        <c:axId val="309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Spot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0928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084262904636919"/>
          <c:y val="7.3041168658698544E-2"/>
          <c:w val="0.65317284558180222"/>
          <c:h val="0.6844611057084001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Utility!$B$4</c:f>
              <c:strCache>
                <c:ptCount val="1"/>
                <c:pt idx="0">
                  <c:v>CALL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Utility!$E$2:$E$202</c:f>
              <c:numCache>
                <c:formatCode>_(* #,##0.00_);_(* \(#,##0.00\);_(* "-"??_);_(@_)</c:formatCode>
                <c:ptCount val="201"/>
                <c:pt idx="0">
                  <c:v>11.72070037348414</c:v>
                </c:pt>
                <c:pt idx="1">
                  <c:v>11.732193369749298</c:v>
                </c:pt>
                <c:pt idx="2">
                  <c:v>11.743686366014458</c:v>
                </c:pt>
                <c:pt idx="3">
                  <c:v>11.755179362279616</c:v>
                </c:pt>
                <c:pt idx="4">
                  <c:v>11.766672358544774</c:v>
                </c:pt>
                <c:pt idx="5">
                  <c:v>11.778165354809934</c:v>
                </c:pt>
                <c:pt idx="6">
                  <c:v>11.789658351075092</c:v>
                </c:pt>
                <c:pt idx="7">
                  <c:v>11.80115134734025</c:v>
                </c:pt>
                <c:pt idx="8">
                  <c:v>11.81264434360541</c:v>
                </c:pt>
                <c:pt idx="9">
                  <c:v>11.824137339870568</c:v>
                </c:pt>
                <c:pt idx="10">
                  <c:v>11.835630336135726</c:v>
                </c:pt>
                <c:pt idx="11">
                  <c:v>11.847123332400885</c:v>
                </c:pt>
                <c:pt idx="12">
                  <c:v>11.858616328666043</c:v>
                </c:pt>
                <c:pt idx="13">
                  <c:v>11.870109324931201</c:v>
                </c:pt>
                <c:pt idx="14">
                  <c:v>11.881602321196361</c:v>
                </c:pt>
                <c:pt idx="15">
                  <c:v>11.893095317461519</c:v>
                </c:pt>
                <c:pt idx="16">
                  <c:v>11.904588313726677</c:v>
                </c:pt>
                <c:pt idx="17">
                  <c:v>11.916081309991837</c:v>
                </c:pt>
                <c:pt idx="18">
                  <c:v>11.927574306256995</c:v>
                </c:pt>
                <c:pt idx="19">
                  <c:v>11.939067302522155</c:v>
                </c:pt>
                <c:pt idx="20">
                  <c:v>11.950560298787313</c:v>
                </c:pt>
                <c:pt idx="21">
                  <c:v>11.962053295052471</c:v>
                </c:pt>
                <c:pt idx="22">
                  <c:v>11.973546291317628</c:v>
                </c:pt>
                <c:pt idx="23">
                  <c:v>11.985039287582788</c:v>
                </c:pt>
                <c:pt idx="24">
                  <c:v>11.996532283847946</c:v>
                </c:pt>
                <c:pt idx="25">
                  <c:v>12.008025280113106</c:v>
                </c:pt>
                <c:pt idx="26">
                  <c:v>12.019518276378264</c:v>
                </c:pt>
                <c:pt idx="27">
                  <c:v>12.031011272643422</c:v>
                </c:pt>
                <c:pt idx="28">
                  <c:v>12.04250426890858</c:v>
                </c:pt>
                <c:pt idx="29">
                  <c:v>12.05399726517374</c:v>
                </c:pt>
                <c:pt idx="30">
                  <c:v>12.065490261438898</c:v>
                </c:pt>
                <c:pt idx="31">
                  <c:v>12.076983257704057</c:v>
                </c:pt>
                <c:pt idx="32">
                  <c:v>12.088476253969215</c:v>
                </c:pt>
                <c:pt idx="33">
                  <c:v>12.099969250234373</c:v>
                </c:pt>
                <c:pt idx="34">
                  <c:v>12.111462246499533</c:v>
                </c:pt>
                <c:pt idx="35">
                  <c:v>12.122955242764691</c:v>
                </c:pt>
                <c:pt idx="36">
                  <c:v>12.134448239029849</c:v>
                </c:pt>
                <c:pt idx="37">
                  <c:v>12.145941235295009</c:v>
                </c:pt>
                <c:pt idx="38">
                  <c:v>12.157434231560167</c:v>
                </c:pt>
                <c:pt idx="39">
                  <c:v>12.168927227825325</c:v>
                </c:pt>
                <c:pt idx="40">
                  <c:v>12.180420224090485</c:v>
                </c:pt>
                <c:pt idx="41">
                  <c:v>12.191913220355643</c:v>
                </c:pt>
                <c:pt idx="42">
                  <c:v>12.203406216620801</c:v>
                </c:pt>
                <c:pt idx="43">
                  <c:v>12.21489921288596</c:v>
                </c:pt>
                <c:pt idx="44">
                  <c:v>12.226392209151118</c:v>
                </c:pt>
                <c:pt idx="45">
                  <c:v>12.237885205416276</c:v>
                </c:pt>
                <c:pt idx="46">
                  <c:v>12.249378201681436</c:v>
                </c:pt>
                <c:pt idx="47">
                  <c:v>12.260871197946594</c:v>
                </c:pt>
                <c:pt idx="48">
                  <c:v>12.272364194211752</c:v>
                </c:pt>
                <c:pt idx="49">
                  <c:v>12.283857190476912</c:v>
                </c:pt>
                <c:pt idx="50">
                  <c:v>12.29535018674207</c:v>
                </c:pt>
                <c:pt idx="51">
                  <c:v>12.306843183007228</c:v>
                </c:pt>
                <c:pt idx="52">
                  <c:v>12.318336179272388</c:v>
                </c:pt>
                <c:pt idx="53">
                  <c:v>12.329829175537546</c:v>
                </c:pt>
                <c:pt idx="54">
                  <c:v>12.341322171802704</c:v>
                </c:pt>
                <c:pt idx="55">
                  <c:v>12.352815168067863</c:v>
                </c:pt>
                <c:pt idx="56">
                  <c:v>12.364308164333021</c:v>
                </c:pt>
                <c:pt idx="57">
                  <c:v>12.375801160598179</c:v>
                </c:pt>
                <c:pt idx="58">
                  <c:v>12.387294156863339</c:v>
                </c:pt>
                <c:pt idx="59">
                  <c:v>12.398787153128497</c:v>
                </c:pt>
                <c:pt idx="60">
                  <c:v>12.410280149393655</c:v>
                </c:pt>
                <c:pt idx="61">
                  <c:v>12.421773145658815</c:v>
                </c:pt>
                <c:pt idx="62">
                  <c:v>12.433266141923973</c:v>
                </c:pt>
                <c:pt idx="63">
                  <c:v>12.444759138189131</c:v>
                </c:pt>
                <c:pt idx="64">
                  <c:v>12.45625213445429</c:v>
                </c:pt>
                <c:pt idx="65">
                  <c:v>12.467745130719448</c:v>
                </c:pt>
                <c:pt idx="66">
                  <c:v>12.479238126984606</c:v>
                </c:pt>
                <c:pt idx="67">
                  <c:v>12.490731123249766</c:v>
                </c:pt>
                <c:pt idx="68">
                  <c:v>12.502224119514924</c:v>
                </c:pt>
                <c:pt idx="69">
                  <c:v>12.513717115780082</c:v>
                </c:pt>
                <c:pt idx="70">
                  <c:v>12.525210112045242</c:v>
                </c:pt>
                <c:pt idx="71">
                  <c:v>12.5367031083104</c:v>
                </c:pt>
                <c:pt idx="72">
                  <c:v>12.54819610457556</c:v>
                </c:pt>
                <c:pt idx="73">
                  <c:v>12.559689100840718</c:v>
                </c:pt>
                <c:pt idx="74">
                  <c:v>12.571182097105876</c:v>
                </c:pt>
                <c:pt idx="75">
                  <c:v>12.582675093371034</c:v>
                </c:pt>
                <c:pt idx="76">
                  <c:v>12.594168089636193</c:v>
                </c:pt>
                <c:pt idx="77">
                  <c:v>12.605661085901351</c:v>
                </c:pt>
                <c:pt idx="78">
                  <c:v>12.617154082166511</c:v>
                </c:pt>
                <c:pt idx="79">
                  <c:v>12.628647078431669</c:v>
                </c:pt>
                <c:pt idx="80">
                  <c:v>12.640140074696827</c:v>
                </c:pt>
                <c:pt idx="81">
                  <c:v>12.651633070961987</c:v>
                </c:pt>
                <c:pt idx="82">
                  <c:v>12.663126067227145</c:v>
                </c:pt>
                <c:pt idx="83">
                  <c:v>12.674619063492303</c:v>
                </c:pt>
                <c:pt idx="84">
                  <c:v>12.686112059757463</c:v>
                </c:pt>
                <c:pt idx="85">
                  <c:v>12.697605056022621</c:v>
                </c:pt>
                <c:pt idx="86">
                  <c:v>12.709098052287779</c:v>
                </c:pt>
                <c:pt idx="87">
                  <c:v>12.720591048552938</c:v>
                </c:pt>
                <c:pt idx="88">
                  <c:v>12.732084044818096</c:v>
                </c:pt>
                <c:pt idx="89">
                  <c:v>12.743577041083254</c:v>
                </c:pt>
                <c:pt idx="90">
                  <c:v>12.755070037348414</c:v>
                </c:pt>
                <c:pt idx="91">
                  <c:v>12.766563033613572</c:v>
                </c:pt>
                <c:pt idx="92">
                  <c:v>12.77805602987873</c:v>
                </c:pt>
                <c:pt idx="93">
                  <c:v>12.78954902614389</c:v>
                </c:pt>
                <c:pt idx="94">
                  <c:v>12.801042022409048</c:v>
                </c:pt>
                <c:pt idx="95">
                  <c:v>12.812535018674206</c:v>
                </c:pt>
                <c:pt idx="96">
                  <c:v>12.824028014939366</c:v>
                </c:pt>
                <c:pt idx="97">
                  <c:v>12.835521011204523</c:v>
                </c:pt>
                <c:pt idx="98">
                  <c:v>12.847014007469681</c:v>
                </c:pt>
                <c:pt idx="99">
                  <c:v>12.858507003734841</c:v>
                </c:pt>
                <c:pt idx="100">
                  <c:v>12.87</c:v>
                </c:pt>
                <c:pt idx="101">
                  <c:v>12.881492996265157</c:v>
                </c:pt>
                <c:pt idx="102">
                  <c:v>12.892985992530317</c:v>
                </c:pt>
                <c:pt idx="103">
                  <c:v>12.904478988795475</c:v>
                </c:pt>
                <c:pt idx="104">
                  <c:v>12.915971985060633</c:v>
                </c:pt>
                <c:pt idx="105">
                  <c:v>12.927464981325793</c:v>
                </c:pt>
                <c:pt idx="106">
                  <c:v>12.938957977590951</c:v>
                </c:pt>
                <c:pt idx="107">
                  <c:v>12.950450973856109</c:v>
                </c:pt>
                <c:pt idx="108">
                  <c:v>12.961943970121268</c:v>
                </c:pt>
                <c:pt idx="109">
                  <c:v>12.973436966386426</c:v>
                </c:pt>
                <c:pt idx="110">
                  <c:v>12.984929962651584</c:v>
                </c:pt>
                <c:pt idx="111">
                  <c:v>12.996422958916744</c:v>
                </c:pt>
                <c:pt idx="112">
                  <c:v>13.007915955181902</c:v>
                </c:pt>
                <c:pt idx="113">
                  <c:v>13.01940895144706</c:v>
                </c:pt>
                <c:pt idx="114">
                  <c:v>13.03090194771222</c:v>
                </c:pt>
                <c:pt idx="115">
                  <c:v>13.042394943977378</c:v>
                </c:pt>
                <c:pt idx="116">
                  <c:v>13.053887940242536</c:v>
                </c:pt>
                <c:pt idx="117">
                  <c:v>13.065380936507696</c:v>
                </c:pt>
                <c:pt idx="118">
                  <c:v>13.076873932772854</c:v>
                </c:pt>
                <c:pt idx="119">
                  <c:v>13.088366929038012</c:v>
                </c:pt>
                <c:pt idx="120">
                  <c:v>13.099859925303171</c:v>
                </c:pt>
                <c:pt idx="121">
                  <c:v>13.111352921568329</c:v>
                </c:pt>
                <c:pt idx="122">
                  <c:v>13.122845917833487</c:v>
                </c:pt>
                <c:pt idx="123">
                  <c:v>13.134338914098647</c:v>
                </c:pt>
                <c:pt idx="124">
                  <c:v>13.145831910363805</c:v>
                </c:pt>
                <c:pt idx="125">
                  <c:v>13.157324906628965</c:v>
                </c:pt>
                <c:pt idx="126">
                  <c:v>13.168817902894123</c:v>
                </c:pt>
                <c:pt idx="127">
                  <c:v>13.180310899159281</c:v>
                </c:pt>
                <c:pt idx="128">
                  <c:v>13.191803895424439</c:v>
                </c:pt>
                <c:pt idx="129">
                  <c:v>13.203296891689599</c:v>
                </c:pt>
                <c:pt idx="130">
                  <c:v>13.214789887954757</c:v>
                </c:pt>
                <c:pt idx="131">
                  <c:v>13.226282884219916</c:v>
                </c:pt>
                <c:pt idx="132">
                  <c:v>13.237775880485074</c:v>
                </c:pt>
                <c:pt idx="133">
                  <c:v>13.249268876750232</c:v>
                </c:pt>
                <c:pt idx="134">
                  <c:v>13.260761873015392</c:v>
                </c:pt>
                <c:pt idx="135">
                  <c:v>13.27225486928055</c:v>
                </c:pt>
                <c:pt idx="136">
                  <c:v>13.283747865545708</c:v>
                </c:pt>
                <c:pt idx="137">
                  <c:v>13.295240861810868</c:v>
                </c:pt>
                <c:pt idx="138">
                  <c:v>13.306733858076026</c:v>
                </c:pt>
                <c:pt idx="139">
                  <c:v>13.318226854341184</c:v>
                </c:pt>
                <c:pt idx="140">
                  <c:v>13.329719850606343</c:v>
                </c:pt>
                <c:pt idx="141">
                  <c:v>13.341212846871501</c:v>
                </c:pt>
                <c:pt idx="142">
                  <c:v>13.352705843136659</c:v>
                </c:pt>
                <c:pt idx="143">
                  <c:v>13.364198839401819</c:v>
                </c:pt>
                <c:pt idx="144">
                  <c:v>13.375691835666977</c:v>
                </c:pt>
                <c:pt idx="145">
                  <c:v>13.387184831932135</c:v>
                </c:pt>
                <c:pt idx="146">
                  <c:v>13.398677828197295</c:v>
                </c:pt>
                <c:pt idx="147">
                  <c:v>13.410170824462453</c:v>
                </c:pt>
                <c:pt idx="148">
                  <c:v>13.421663820727611</c:v>
                </c:pt>
                <c:pt idx="149">
                  <c:v>13.433156816992771</c:v>
                </c:pt>
                <c:pt idx="150">
                  <c:v>13.444649813257929</c:v>
                </c:pt>
                <c:pt idx="151">
                  <c:v>13.456142809523087</c:v>
                </c:pt>
                <c:pt idx="152">
                  <c:v>13.467635805788246</c:v>
                </c:pt>
                <c:pt idx="153">
                  <c:v>13.479128802053404</c:v>
                </c:pt>
                <c:pt idx="154">
                  <c:v>13.490621798318562</c:v>
                </c:pt>
                <c:pt idx="155">
                  <c:v>13.502114794583722</c:v>
                </c:pt>
                <c:pt idx="156">
                  <c:v>13.51360779084888</c:v>
                </c:pt>
                <c:pt idx="157">
                  <c:v>13.525100787114038</c:v>
                </c:pt>
                <c:pt idx="158">
                  <c:v>13.536593783379198</c:v>
                </c:pt>
                <c:pt idx="159">
                  <c:v>13.548086779644356</c:v>
                </c:pt>
                <c:pt idx="160">
                  <c:v>13.559579775909514</c:v>
                </c:pt>
                <c:pt idx="161">
                  <c:v>13.571072772174674</c:v>
                </c:pt>
                <c:pt idx="162">
                  <c:v>13.582565768439832</c:v>
                </c:pt>
                <c:pt idx="163">
                  <c:v>13.59405876470499</c:v>
                </c:pt>
                <c:pt idx="164">
                  <c:v>13.605551760970149</c:v>
                </c:pt>
                <c:pt idx="165">
                  <c:v>13.617044757235307</c:v>
                </c:pt>
                <c:pt idx="166">
                  <c:v>13.628537753500465</c:v>
                </c:pt>
                <c:pt idx="167">
                  <c:v>13.640030749765625</c:v>
                </c:pt>
                <c:pt idx="168">
                  <c:v>13.651523746030783</c:v>
                </c:pt>
                <c:pt idx="169">
                  <c:v>13.663016742295941</c:v>
                </c:pt>
                <c:pt idx="170">
                  <c:v>13.674509738561101</c:v>
                </c:pt>
                <c:pt idx="171">
                  <c:v>13.686002734826259</c:v>
                </c:pt>
                <c:pt idx="172">
                  <c:v>13.697495731091418</c:v>
                </c:pt>
                <c:pt idx="173">
                  <c:v>13.708988727356576</c:v>
                </c:pt>
                <c:pt idx="174">
                  <c:v>13.720481723621734</c:v>
                </c:pt>
                <c:pt idx="175">
                  <c:v>13.731974719886892</c:v>
                </c:pt>
                <c:pt idx="176">
                  <c:v>13.743467716152052</c:v>
                </c:pt>
                <c:pt idx="177">
                  <c:v>13.75496071241721</c:v>
                </c:pt>
                <c:pt idx="178">
                  <c:v>13.76645370868237</c:v>
                </c:pt>
                <c:pt idx="179">
                  <c:v>13.777946704947528</c:v>
                </c:pt>
                <c:pt idx="180">
                  <c:v>13.789439701212686</c:v>
                </c:pt>
                <c:pt idx="181">
                  <c:v>13.800932697477844</c:v>
                </c:pt>
                <c:pt idx="182">
                  <c:v>13.812425693743004</c:v>
                </c:pt>
                <c:pt idx="183">
                  <c:v>13.823918690008162</c:v>
                </c:pt>
                <c:pt idx="184">
                  <c:v>13.835411686273321</c:v>
                </c:pt>
                <c:pt idx="185">
                  <c:v>13.846904682538479</c:v>
                </c:pt>
                <c:pt idx="186">
                  <c:v>13.858397678803637</c:v>
                </c:pt>
                <c:pt idx="187">
                  <c:v>13.869890675068797</c:v>
                </c:pt>
                <c:pt idx="188">
                  <c:v>13.881383671333955</c:v>
                </c:pt>
                <c:pt idx="189">
                  <c:v>13.892876667599113</c:v>
                </c:pt>
                <c:pt idx="190">
                  <c:v>13.904369663864273</c:v>
                </c:pt>
                <c:pt idx="191">
                  <c:v>13.915862660129431</c:v>
                </c:pt>
                <c:pt idx="192">
                  <c:v>13.927355656394589</c:v>
                </c:pt>
                <c:pt idx="193">
                  <c:v>13.938848652659749</c:v>
                </c:pt>
                <c:pt idx="194">
                  <c:v>13.950341648924907</c:v>
                </c:pt>
                <c:pt idx="195">
                  <c:v>13.961834645190065</c:v>
                </c:pt>
                <c:pt idx="196">
                  <c:v>13.973327641455224</c:v>
                </c:pt>
                <c:pt idx="197">
                  <c:v>13.984820637720382</c:v>
                </c:pt>
                <c:pt idx="198">
                  <c:v>13.99631363398554</c:v>
                </c:pt>
                <c:pt idx="199">
                  <c:v>14.0078066302507</c:v>
                </c:pt>
                <c:pt idx="200">
                  <c:v>14.019299626515858</c:v>
                </c:pt>
              </c:numCache>
            </c:numRef>
          </c:xVal>
          <c:yVal>
            <c:numRef>
              <c:f>Utility!$F$2:$F$202</c:f>
              <c:numCache>
                <c:formatCode>_(* #,##0.0_);_(* \(#,##0.0\);_(* "-"??_);_(@_)</c:formatCode>
                <c:ptCount val="201"/>
                <c:pt idx="0">
                  <c:v>-55.000000000000007</c:v>
                </c:pt>
                <c:pt idx="1">
                  <c:v>-55.000000000000007</c:v>
                </c:pt>
                <c:pt idx="2">
                  <c:v>-55.000000000000007</c:v>
                </c:pt>
                <c:pt idx="3">
                  <c:v>-55.000000000000007</c:v>
                </c:pt>
                <c:pt idx="4">
                  <c:v>-55.000000000000007</c:v>
                </c:pt>
                <c:pt idx="5">
                  <c:v>-55.000000000000007</c:v>
                </c:pt>
                <c:pt idx="6">
                  <c:v>-55.000000000000007</c:v>
                </c:pt>
                <c:pt idx="7">
                  <c:v>-55.000000000000007</c:v>
                </c:pt>
                <c:pt idx="8">
                  <c:v>-55.000000000000007</c:v>
                </c:pt>
                <c:pt idx="9">
                  <c:v>-55.000000000000007</c:v>
                </c:pt>
                <c:pt idx="10">
                  <c:v>-55.000000000000007</c:v>
                </c:pt>
                <c:pt idx="11">
                  <c:v>-55.000000000000007</c:v>
                </c:pt>
                <c:pt idx="12">
                  <c:v>-55.000000000000007</c:v>
                </c:pt>
                <c:pt idx="13">
                  <c:v>-55.000000000000007</c:v>
                </c:pt>
                <c:pt idx="14">
                  <c:v>-55.000000000000007</c:v>
                </c:pt>
                <c:pt idx="15">
                  <c:v>-55.000000000000007</c:v>
                </c:pt>
                <c:pt idx="16">
                  <c:v>-55.000000000000007</c:v>
                </c:pt>
                <c:pt idx="17">
                  <c:v>-55.000000000000007</c:v>
                </c:pt>
                <c:pt idx="18">
                  <c:v>-55.000000000000007</c:v>
                </c:pt>
                <c:pt idx="19">
                  <c:v>-55.000000000000007</c:v>
                </c:pt>
                <c:pt idx="20">
                  <c:v>-55.000000000000007</c:v>
                </c:pt>
                <c:pt idx="21">
                  <c:v>-55.000000000000007</c:v>
                </c:pt>
                <c:pt idx="22">
                  <c:v>-55.000000000000007</c:v>
                </c:pt>
                <c:pt idx="23">
                  <c:v>-55.000000000000007</c:v>
                </c:pt>
                <c:pt idx="24">
                  <c:v>-55.000000000000007</c:v>
                </c:pt>
                <c:pt idx="25">
                  <c:v>-55.000000000000007</c:v>
                </c:pt>
                <c:pt idx="26">
                  <c:v>-55.000000000000007</c:v>
                </c:pt>
                <c:pt idx="27">
                  <c:v>-55.000000000000007</c:v>
                </c:pt>
                <c:pt idx="28">
                  <c:v>-55.000000000000007</c:v>
                </c:pt>
                <c:pt idx="29">
                  <c:v>-55.000000000000007</c:v>
                </c:pt>
                <c:pt idx="30">
                  <c:v>-55.000000000000007</c:v>
                </c:pt>
                <c:pt idx="31">
                  <c:v>-55.000000000000007</c:v>
                </c:pt>
                <c:pt idx="32">
                  <c:v>-55.000000000000007</c:v>
                </c:pt>
                <c:pt idx="33">
                  <c:v>-55.000000000000007</c:v>
                </c:pt>
                <c:pt idx="34">
                  <c:v>-55.000000000000007</c:v>
                </c:pt>
                <c:pt idx="35">
                  <c:v>-55.000000000000007</c:v>
                </c:pt>
                <c:pt idx="36">
                  <c:v>-55.000000000000007</c:v>
                </c:pt>
                <c:pt idx="37">
                  <c:v>-55.000000000000007</c:v>
                </c:pt>
                <c:pt idx="38">
                  <c:v>-55.000000000000007</c:v>
                </c:pt>
                <c:pt idx="39">
                  <c:v>-55.000000000000007</c:v>
                </c:pt>
                <c:pt idx="40">
                  <c:v>-55.000000000000007</c:v>
                </c:pt>
                <c:pt idx="41">
                  <c:v>-55.000000000000007</c:v>
                </c:pt>
                <c:pt idx="42">
                  <c:v>-55.000000000000007</c:v>
                </c:pt>
                <c:pt idx="43">
                  <c:v>-55.000000000000007</c:v>
                </c:pt>
                <c:pt idx="44">
                  <c:v>-55.000000000000007</c:v>
                </c:pt>
                <c:pt idx="45">
                  <c:v>-55.000000000000007</c:v>
                </c:pt>
                <c:pt idx="46">
                  <c:v>-55.000000000000007</c:v>
                </c:pt>
                <c:pt idx="47">
                  <c:v>-55.000000000000007</c:v>
                </c:pt>
                <c:pt idx="48">
                  <c:v>-55.000000000000007</c:v>
                </c:pt>
                <c:pt idx="49">
                  <c:v>-55.000000000000007</c:v>
                </c:pt>
                <c:pt idx="50">
                  <c:v>-55.000000000000007</c:v>
                </c:pt>
                <c:pt idx="51">
                  <c:v>-55.000000000000007</c:v>
                </c:pt>
                <c:pt idx="52">
                  <c:v>-55.000000000000007</c:v>
                </c:pt>
                <c:pt idx="53">
                  <c:v>-55.000000000000007</c:v>
                </c:pt>
                <c:pt idx="54">
                  <c:v>-55.000000000000007</c:v>
                </c:pt>
                <c:pt idx="55">
                  <c:v>-55.000000000000007</c:v>
                </c:pt>
                <c:pt idx="56">
                  <c:v>-55.000000000000007</c:v>
                </c:pt>
                <c:pt idx="57">
                  <c:v>-55.000000000000007</c:v>
                </c:pt>
                <c:pt idx="58">
                  <c:v>-55.000000000000007</c:v>
                </c:pt>
                <c:pt idx="59">
                  <c:v>-55.000000000000007</c:v>
                </c:pt>
                <c:pt idx="60">
                  <c:v>-55.000000000000007</c:v>
                </c:pt>
                <c:pt idx="61">
                  <c:v>-55.000000000000007</c:v>
                </c:pt>
                <c:pt idx="62">
                  <c:v>-55.000000000000007</c:v>
                </c:pt>
                <c:pt idx="63">
                  <c:v>-55.000000000000007</c:v>
                </c:pt>
                <c:pt idx="64">
                  <c:v>-55.000000000000007</c:v>
                </c:pt>
                <c:pt idx="65">
                  <c:v>-55.000000000000007</c:v>
                </c:pt>
                <c:pt idx="66">
                  <c:v>-55.000000000000007</c:v>
                </c:pt>
                <c:pt idx="67">
                  <c:v>-55.000000000000007</c:v>
                </c:pt>
                <c:pt idx="68">
                  <c:v>-54.777588048507589</c:v>
                </c:pt>
                <c:pt idx="69">
                  <c:v>-53.62828842199179</c:v>
                </c:pt>
                <c:pt idx="70">
                  <c:v>-52.478988795475814</c:v>
                </c:pt>
                <c:pt idx="71">
                  <c:v>-51.329689168960016</c:v>
                </c:pt>
                <c:pt idx="72">
                  <c:v>-50.18038954244404</c:v>
                </c:pt>
                <c:pt idx="73">
                  <c:v>-49.031089915928241</c:v>
                </c:pt>
                <c:pt idx="74">
                  <c:v>-47.881790289412443</c:v>
                </c:pt>
                <c:pt idx="75">
                  <c:v>-46.732490662896645</c:v>
                </c:pt>
                <c:pt idx="76">
                  <c:v>-45.583191036380668</c:v>
                </c:pt>
                <c:pt idx="77">
                  <c:v>-44.43389140986487</c:v>
                </c:pt>
                <c:pt idx="78">
                  <c:v>-43.284591783348894</c:v>
                </c:pt>
                <c:pt idx="79">
                  <c:v>-42.135292156833096</c:v>
                </c:pt>
                <c:pt idx="80">
                  <c:v>-40.985992530317297</c:v>
                </c:pt>
                <c:pt idx="81">
                  <c:v>-39.836692903801321</c:v>
                </c:pt>
                <c:pt idx="82">
                  <c:v>-38.687393277285523</c:v>
                </c:pt>
                <c:pt idx="83">
                  <c:v>-37.538093650769724</c:v>
                </c:pt>
                <c:pt idx="84">
                  <c:v>-36.388794024253748</c:v>
                </c:pt>
                <c:pt idx="85">
                  <c:v>-35.23949439773795</c:v>
                </c:pt>
                <c:pt idx="86">
                  <c:v>-34.090194771222151</c:v>
                </c:pt>
                <c:pt idx="87">
                  <c:v>-32.940895144706175</c:v>
                </c:pt>
                <c:pt idx="88">
                  <c:v>-31.791595518190373</c:v>
                </c:pt>
                <c:pt idx="89">
                  <c:v>-30.642295891674575</c:v>
                </c:pt>
                <c:pt idx="90">
                  <c:v>-29.492996265158599</c:v>
                </c:pt>
                <c:pt idx="91">
                  <c:v>-28.3436966386428</c:v>
                </c:pt>
                <c:pt idx="92">
                  <c:v>-27.194397012127002</c:v>
                </c:pt>
                <c:pt idx="93">
                  <c:v>-26.045097385611026</c:v>
                </c:pt>
                <c:pt idx="94">
                  <c:v>-24.895797759095228</c:v>
                </c:pt>
                <c:pt idx="95">
                  <c:v>-23.746498132579429</c:v>
                </c:pt>
                <c:pt idx="96">
                  <c:v>-22.597198506063453</c:v>
                </c:pt>
                <c:pt idx="97">
                  <c:v>-21.447898879547655</c:v>
                </c:pt>
                <c:pt idx="98">
                  <c:v>-20.298599253031856</c:v>
                </c:pt>
                <c:pt idx="99">
                  <c:v>-19.14929962651588</c:v>
                </c:pt>
                <c:pt idx="100">
                  <c:v>-18.000000000000082</c:v>
                </c:pt>
                <c:pt idx="101">
                  <c:v>-16.850700373484283</c:v>
                </c:pt>
                <c:pt idx="102">
                  <c:v>-15.701400746968307</c:v>
                </c:pt>
                <c:pt idx="103">
                  <c:v>-14.552101120452509</c:v>
                </c:pt>
                <c:pt idx="104">
                  <c:v>-13.40280149393671</c:v>
                </c:pt>
                <c:pt idx="105">
                  <c:v>-12.253501867420734</c:v>
                </c:pt>
                <c:pt idx="106">
                  <c:v>-11.104202240904936</c:v>
                </c:pt>
                <c:pt idx="107">
                  <c:v>-9.9549026143891375</c:v>
                </c:pt>
                <c:pt idx="108">
                  <c:v>-8.8056029878731614</c:v>
                </c:pt>
                <c:pt idx="109">
                  <c:v>-7.6563033613573639</c:v>
                </c:pt>
                <c:pt idx="110">
                  <c:v>-6.5070037348415655</c:v>
                </c:pt>
                <c:pt idx="111">
                  <c:v>-5.3577041083255894</c:v>
                </c:pt>
                <c:pt idx="112">
                  <c:v>-4.208404481809791</c:v>
                </c:pt>
                <c:pt idx="113">
                  <c:v>-3.0591048552939926</c:v>
                </c:pt>
                <c:pt idx="114">
                  <c:v>-1.9098052287780165</c:v>
                </c:pt>
                <c:pt idx="115">
                  <c:v>-0.76050560226221808</c:v>
                </c:pt>
                <c:pt idx="116">
                  <c:v>0.38879402425358034</c:v>
                </c:pt>
                <c:pt idx="117">
                  <c:v>1.5380936507695564</c:v>
                </c:pt>
                <c:pt idx="118">
                  <c:v>2.6873932772853548</c:v>
                </c:pt>
                <c:pt idx="119">
                  <c:v>3.8366929038011532</c:v>
                </c:pt>
                <c:pt idx="120">
                  <c:v>4.9859925303171293</c:v>
                </c:pt>
                <c:pt idx="121">
                  <c:v>6.1352921568329277</c:v>
                </c:pt>
                <c:pt idx="122">
                  <c:v>7.2845917833487261</c:v>
                </c:pt>
                <c:pt idx="123">
                  <c:v>8.4338914098647031</c:v>
                </c:pt>
                <c:pt idx="124">
                  <c:v>9.5831910363805015</c:v>
                </c:pt>
                <c:pt idx="125">
                  <c:v>10.732490662896478</c:v>
                </c:pt>
                <c:pt idx="126">
                  <c:v>11.881790289412276</c:v>
                </c:pt>
                <c:pt idx="127">
                  <c:v>13.031089915928074</c:v>
                </c:pt>
                <c:pt idx="128">
                  <c:v>14.180389542443873</c:v>
                </c:pt>
                <c:pt idx="129">
                  <c:v>15.329689168959849</c:v>
                </c:pt>
                <c:pt idx="130">
                  <c:v>16.478988795475647</c:v>
                </c:pt>
                <c:pt idx="131">
                  <c:v>17.628288421991623</c:v>
                </c:pt>
                <c:pt idx="132">
                  <c:v>18.777588048507422</c:v>
                </c:pt>
                <c:pt idx="133">
                  <c:v>19.92688767502322</c:v>
                </c:pt>
                <c:pt idx="134">
                  <c:v>21.076187301539196</c:v>
                </c:pt>
                <c:pt idx="135">
                  <c:v>22.225486928054995</c:v>
                </c:pt>
                <c:pt idx="136">
                  <c:v>23.374786554570793</c:v>
                </c:pt>
                <c:pt idx="137">
                  <c:v>24.524086181086769</c:v>
                </c:pt>
                <c:pt idx="138">
                  <c:v>25.673385807602568</c:v>
                </c:pt>
                <c:pt idx="139">
                  <c:v>26.822685434118366</c:v>
                </c:pt>
                <c:pt idx="140">
                  <c:v>27.971985060634342</c:v>
                </c:pt>
                <c:pt idx="141">
                  <c:v>29.121284687150141</c:v>
                </c:pt>
                <c:pt idx="142">
                  <c:v>30.270584313665939</c:v>
                </c:pt>
                <c:pt idx="143">
                  <c:v>31.419883940181915</c:v>
                </c:pt>
                <c:pt idx="144">
                  <c:v>32.56918356669771</c:v>
                </c:pt>
                <c:pt idx="145">
                  <c:v>33.718483193213508</c:v>
                </c:pt>
                <c:pt idx="146">
                  <c:v>34.867782819729484</c:v>
                </c:pt>
                <c:pt idx="147">
                  <c:v>36.017082446245283</c:v>
                </c:pt>
                <c:pt idx="148">
                  <c:v>37.166382072761081</c:v>
                </c:pt>
                <c:pt idx="149">
                  <c:v>38.315681699277057</c:v>
                </c:pt>
                <c:pt idx="150">
                  <c:v>39.464981325792856</c:v>
                </c:pt>
                <c:pt idx="151">
                  <c:v>40.614280952308654</c:v>
                </c:pt>
                <c:pt idx="152">
                  <c:v>41.76358057882463</c:v>
                </c:pt>
                <c:pt idx="153">
                  <c:v>42.912880205340429</c:v>
                </c:pt>
                <c:pt idx="154">
                  <c:v>44.062179831856227</c:v>
                </c:pt>
                <c:pt idx="155">
                  <c:v>45.211479458372203</c:v>
                </c:pt>
                <c:pt idx="156">
                  <c:v>46.360779084888001</c:v>
                </c:pt>
                <c:pt idx="157">
                  <c:v>47.5100787114038</c:v>
                </c:pt>
                <c:pt idx="158">
                  <c:v>48.659378337919776</c:v>
                </c:pt>
                <c:pt idx="159">
                  <c:v>49.808677964435574</c:v>
                </c:pt>
                <c:pt idx="160">
                  <c:v>50.957977590951373</c:v>
                </c:pt>
                <c:pt idx="161">
                  <c:v>52.107277217467349</c:v>
                </c:pt>
                <c:pt idx="162">
                  <c:v>53.256576843983147</c:v>
                </c:pt>
                <c:pt idx="163">
                  <c:v>54.405876470498946</c:v>
                </c:pt>
                <c:pt idx="164">
                  <c:v>55.555176097014922</c:v>
                </c:pt>
                <c:pt idx="165">
                  <c:v>56.70447572353072</c:v>
                </c:pt>
                <c:pt idx="166">
                  <c:v>57.853775350046519</c:v>
                </c:pt>
                <c:pt idx="167">
                  <c:v>59.003074976562495</c:v>
                </c:pt>
                <c:pt idx="168">
                  <c:v>60.152374603078293</c:v>
                </c:pt>
                <c:pt idx="169">
                  <c:v>61.301674229594092</c:v>
                </c:pt>
                <c:pt idx="170">
                  <c:v>62.450973856110068</c:v>
                </c:pt>
                <c:pt idx="171">
                  <c:v>63.600273482625866</c:v>
                </c:pt>
                <c:pt idx="172">
                  <c:v>64.749573109141849</c:v>
                </c:pt>
                <c:pt idx="173">
                  <c:v>65.898872735657648</c:v>
                </c:pt>
                <c:pt idx="174">
                  <c:v>67.048172362173446</c:v>
                </c:pt>
                <c:pt idx="175">
                  <c:v>68.197471988689244</c:v>
                </c:pt>
                <c:pt idx="176">
                  <c:v>69.346771615205213</c:v>
                </c:pt>
                <c:pt idx="177">
                  <c:v>70.496071241721012</c:v>
                </c:pt>
                <c:pt idx="178">
                  <c:v>71.645370868236995</c:v>
                </c:pt>
                <c:pt idx="179">
                  <c:v>72.794670494752793</c:v>
                </c:pt>
                <c:pt idx="180">
                  <c:v>73.943970121268592</c:v>
                </c:pt>
                <c:pt idx="181">
                  <c:v>75.09326974778439</c:v>
                </c:pt>
                <c:pt idx="182">
                  <c:v>76.242569374300359</c:v>
                </c:pt>
                <c:pt idx="183">
                  <c:v>77.391869000816158</c:v>
                </c:pt>
                <c:pt idx="184">
                  <c:v>78.541168627332141</c:v>
                </c:pt>
                <c:pt idx="185">
                  <c:v>79.690468253847939</c:v>
                </c:pt>
                <c:pt idx="186">
                  <c:v>80.839767880363738</c:v>
                </c:pt>
                <c:pt idx="187">
                  <c:v>81.989067506879707</c:v>
                </c:pt>
                <c:pt idx="188">
                  <c:v>83.138367133395505</c:v>
                </c:pt>
                <c:pt idx="189">
                  <c:v>84.287666759911303</c:v>
                </c:pt>
                <c:pt idx="190">
                  <c:v>85.436966386427287</c:v>
                </c:pt>
                <c:pt idx="191">
                  <c:v>86.586266012943085</c:v>
                </c:pt>
                <c:pt idx="192">
                  <c:v>87.735565639458883</c:v>
                </c:pt>
                <c:pt idx="193">
                  <c:v>88.884865265974852</c:v>
                </c:pt>
                <c:pt idx="194">
                  <c:v>90.034164892490651</c:v>
                </c:pt>
                <c:pt idx="195">
                  <c:v>91.183464519006449</c:v>
                </c:pt>
                <c:pt idx="196">
                  <c:v>92.332764145522432</c:v>
                </c:pt>
                <c:pt idx="197">
                  <c:v>93.482063772038231</c:v>
                </c:pt>
                <c:pt idx="198">
                  <c:v>94.631363398554029</c:v>
                </c:pt>
                <c:pt idx="199">
                  <c:v>95.780663025069998</c:v>
                </c:pt>
                <c:pt idx="200">
                  <c:v>96.929962651585797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75-40F8-954C-F04F2E14AC99}"/>
            </c:ext>
          </c:extLst>
        </c:ser>
        <c:ser>
          <c:idx val="2"/>
          <c:order val="2"/>
          <c:tx>
            <c:strRef>
              <c:f>Utility!$B$8</c:f>
              <c:strCache>
                <c:ptCount val="1"/>
                <c:pt idx="0">
                  <c:v>ITM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Utility!$H$2:$H$202</c:f>
              <c:numCache>
                <c:formatCode>_("$"* #,##0.00_);_("$"* \(#,##0.00\);_("$"* "-"??_);_(@_)</c:formatCode>
                <c:ptCount val="201"/>
                <c:pt idx="0">
                  <c:v>12.87</c:v>
                </c:pt>
                <c:pt idx="1">
                  <c:v>12.87</c:v>
                </c:pt>
                <c:pt idx="2">
                  <c:v>12.87</c:v>
                </c:pt>
                <c:pt idx="3">
                  <c:v>12.87</c:v>
                </c:pt>
                <c:pt idx="4">
                  <c:v>12.87</c:v>
                </c:pt>
                <c:pt idx="5">
                  <c:v>12.87</c:v>
                </c:pt>
                <c:pt idx="6">
                  <c:v>12.87</c:v>
                </c:pt>
                <c:pt idx="7">
                  <c:v>12.87</c:v>
                </c:pt>
                <c:pt idx="8">
                  <c:v>12.87</c:v>
                </c:pt>
                <c:pt idx="9">
                  <c:v>12.87</c:v>
                </c:pt>
                <c:pt idx="10">
                  <c:v>12.87</c:v>
                </c:pt>
                <c:pt idx="11">
                  <c:v>12.87</c:v>
                </c:pt>
                <c:pt idx="12">
                  <c:v>12.87</c:v>
                </c:pt>
                <c:pt idx="13">
                  <c:v>12.87</c:v>
                </c:pt>
                <c:pt idx="14">
                  <c:v>12.87</c:v>
                </c:pt>
                <c:pt idx="15">
                  <c:v>12.87</c:v>
                </c:pt>
                <c:pt idx="16">
                  <c:v>12.87</c:v>
                </c:pt>
                <c:pt idx="17">
                  <c:v>12.87</c:v>
                </c:pt>
                <c:pt idx="18">
                  <c:v>12.87</c:v>
                </c:pt>
                <c:pt idx="19">
                  <c:v>12.87</c:v>
                </c:pt>
                <c:pt idx="20">
                  <c:v>12.87</c:v>
                </c:pt>
                <c:pt idx="21">
                  <c:v>12.87</c:v>
                </c:pt>
                <c:pt idx="22">
                  <c:v>12.87</c:v>
                </c:pt>
                <c:pt idx="23">
                  <c:v>12.87</c:v>
                </c:pt>
                <c:pt idx="24">
                  <c:v>12.87</c:v>
                </c:pt>
                <c:pt idx="25">
                  <c:v>12.87</c:v>
                </c:pt>
                <c:pt idx="26">
                  <c:v>12.87</c:v>
                </c:pt>
                <c:pt idx="27">
                  <c:v>12.87</c:v>
                </c:pt>
                <c:pt idx="28">
                  <c:v>12.87</c:v>
                </c:pt>
                <c:pt idx="29">
                  <c:v>12.87</c:v>
                </c:pt>
                <c:pt idx="30">
                  <c:v>12.87</c:v>
                </c:pt>
                <c:pt idx="31">
                  <c:v>12.87</c:v>
                </c:pt>
                <c:pt idx="32">
                  <c:v>12.87</c:v>
                </c:pt>
                <c:pt idx="33">
                  <c:v>12.87</c:v>
                </c:pt>
                <c:pt idx="34">
                  <c:v>12.87</c:v>
                </c:pt>
                <c:pt idx="35">
                  <c:v>12.87</c:v>
                </c:pt>
                <c:pt idx="36">
                  <c:v>12.87</c:v>
                </c:pt>
                <c:pt idx="37">
                  <c:v>12.87</c:v>
                </c:pt>
                <c:pt idx="38">
                  <c:v>12.87</c:v>
                </c:pt>
                <c:pt idx="39">
                  <c:v>12.87</c:v>
                </c:pt>
                <c:pt idx="40">
                  <c:v>12.87</c:v>
                </c:pt>
                <c:pt idx="41">
                  <c:v>12.87</c:v>
                </c:pt>
                <c:pt idx="42">
                  <c:v>12.87</c:v>
                </c:pt>
                <c:pt idx="43">
                  <c:v>12.87</c:v>
                </c:pt>
                <c:pt idx="44">
                  <c:v>12.87</c:v>
                </c:pt>
                <c:pt idx="45">
                  <c:v>12.87</c:v>
                </c:pt>
                <c:pt idx="46">
                  <c:v>12.87</c:v>
                </c:pt>
                <c:pt idx="47">
                  <c:v>12.87</c:v>
                </c:pt>
                <c:pt idx="48">
                  <c:v>12.87</c:v>
                </c:pt>
                <c:pt idx="49">
                  <c:v>12.87</c:v>
                </c:pt>
                <c:pt idx="50">
                  <c:v>12.87</c:v>
                </c:pt>
                <c:pt idx="51">
                  <c:v>12.87</c:v>
                </c:pt>
                <c:pt idx="52">
                  <c:v>12.87</c:v>
                </c:pt>
                <c:pt idx="53">
                  <c:v>12.87</c:v>
                </c:pt>
                <c:pt idx="54">
                  <c:v>12.87</c:v>
                </c:pt>
                <c:pt idx="55">
                  <c:v>12.87</c:v>
                </c:pt>
                <c:pt idx="56">
                  <c:v>12.87</c:v>
                </c:pt>
                <c:pt idx="57">
                  <c:v>12.87</c:v>
                </c:pt>
                <c:pt idx="58">
                  <c:v>12.87</c:v>
                </c:pt>
                <c:pt idx="59">
                  <c:v>12.87</c:v>
                </c:pt>
                <c:pt idx="60">
                  <c:v>12.87</c:v>
                </c:pt>
                <c:pt idx="61">
                  <c:v>12.87</c:v>
                </c:pt>
                <c:pt idx="62">
                  <c:v>12.87</c:v>
                </c:pt>
                <c:pt idx="63">
                  <c:v>12.87</c:v>
                </c:pt>
                <c:pt idx="64">
                  <c:v>12.87</c:v>
                </c:pt>
                <c:pt idx="65">
                  <c:v>12.87</c:v>
                </c:pt>
                <c:pt idx="66">
                  <c:v>12.87</c:v>
                </c:pt>
                <c:pt idx="67">
                  <c:v>12.87</c:v>
                </c:pt>
                <c:pt idx="68">
                  <c:v>12.87</c:v>
                </c:pt>
                <c:pt idx="69">
                  <c:v>12.87</c:v>
                </c:pt>
                <c:pt idx="70">
                  <c:v>12.87</c:v>
                </c:pt>
                <c:pt idx="71">
                  <c:v>12.87</c:v>
                </c:pt>
                <c:pt idx="72">
                  <c:v>12.87</c:v>
                </c:pt>
                <c:pt idx="73">
                  <c:v>12.87</c:v>
                </c:pt>
                <c:pt idx="74">
                  <c:v>12.87</c:v>
                </c:pt>
                <c:pt idx="75">
                  <c:v>12.87</c:v>
                </c:pt>
                <c:pt idx="76">
                  <c:v>12.87</c:v>
                </c:pt>
                <c:pt idx="77">
                  <c:v>12.87</c:v>
                </c:pt>
                <c:pt idx="78">
                  <c:v>12.87</c:v>
                </c:pt>
                <c:pt idx="79">
                  <c:v>12.87</c:v>
                </c:pt>
                <c:pt idx="80">
                  <c:v>12.87</c:v>
                </c:pt>
                <c:pt idx="81">
                  <c:v>12.87</c:v>
                </c:pt>
                <c:pt idx="82">
                  <c:v>12.87</c:v>
                </c:pt>
                <c:pt idx="83">
                  <c:v>12.87</c:v>
                </c:pt>
                <c:pt idx="84">
                  <c:v>12.87</c:v>
                </c:pt>
                <c:pt idx="85">
                  <c:v>12.87</c:v>
                </c:pt>
                <c:pt idx="86">
                  <c:v>12.87</c:v>
                </c:pt>
                <c:pt idx="87">
                  <c:v>12.87</c:v>
                </c:pt>
                <c:pt idx="88">
                  <c:v>12.87</c:v>
                </c:pt>
                <c:pt idx="89">
                  <c:v>12.87</c:v>
                </c:pt>
                <c:pt idx="90">
                  <c:v>12.87</c:v>
                </c:pt>
                <c:pt idx="91">
                  <c:v>12.87</c:v>
                </c:pt>
                <c:pt idx="92">
                  <c:v>12.87</c:v>
                </c:pt>
                <c:pt idx="93">
                  <c:v>12.87</c:v>
                </c:pt>
                <c:pt idx="94">
                  <c:v>12.87</c:v>
                </c:pt>
                <c:pt idx="95">
                  <c:v>12.87</c:v>
                </c:pt>
                <c:pt idx="96">
                  <c:v>12.87</c:v>
                </c:pt>
                <c:pt idx="97">
                  <c:v>12.87</c:v>
                </c:pt>
                <c:pt idx="98">
                  <c:v>12.87</c:v>
                </c:pt>
                <c:pt idx="99">
                  <c:v>12.87</c:v>
                </c:pt>
                <c:pt idx="100">
                  <c:v>12.87</c:v>
                </c:pt>
                <c:pt idx="101">
                  <c:v>12.87</c:v>
                </c:pt>
                <c:pt idx="102">
                  <c:v>12.87</c:v>
                </c:pt>
                <c:pt idx="103">
                  <c:v>12.87</c:v>
                </c:pt>
                <c:pt idx="104">
                  <c:v>12.87</c:v>
                </c:pt>
                <c:pt idx="105">
                  <c:v>12.87</c:v>
                </c:pt>
                <c:pt idx="106">
                  <c:v>12.87</c:v>
                </c:pt>
                <c:pt idx="107">
                  <c:v>12.87</c:v>
                </c:pt>
                <c:pt idx="108">
                  <c:v>12.87</c:v>
                </c:pt>
                <c:pt idx="109">
                  <c:v>12.87</c:v>
                </c:pt>
                <c:pt idx="110">
                  <c:v>12.87</c:v>
                </c:pt>
                <c:pt idx="111">
                  <c:v>12.87</c:v>
                </c:pt>
                <c:pt idx="112">
                  <c:v>12.87</c:v>
                </c:pt>
                <c:pt idx="113">
                  <c:v>12.87</c:v>
                </c:pt>
                <c:pt idx="114">
                  <c:v>12.87</c:v>
                </c:pt>
                <c:pt idx="115">
                  <c:v>12.87</c:v>
                </c:pt>
                <c:pt idx="116">
                  <c:v>12.87</c:v>
                </c:pt>
                <c:pt idx="117">
                  <c:v>12.87</c:v>
                </c:pt>
                <c:pt idx="118">
                  <c:v>12.87</c:v>
                </c:pt>
                <c:pt idx="119">
                  <c:v>12.87</c:v>
                </c:pt>
                <c:pt idx="120">
                  <c:v>12.87</c:v>
                </c:pt>
                <c:pt idx="121">
                  <c:v>12.87</c:v>
                </c:pt>
                <c:pt idx="122">
                  <c:v>12.87</c:v>
                </c:pt>
                <c:pt idx="123">
                  <c:v>12.87</c:v>
                </c:pt>
                <c:pt idx="124">
                  <c:v>12.87</c:v>
                </c:pt>
                <c:pt idx="125">
                  <c:v>12.87</c:v>
                </c:pt>
                <c:pt idx="126">
                  <c:v>12.87</c:v>
                </c:pt>
                <c:pt idx="127">
                  <c:v>12.87</c:v>
                </c:pt>
                <c:pt idx="128">
                  <c:v>12.87</c:v>
                </c:pt>
                <c:pt idx="129">
                  <c:v>12.87</c:v>
                </c:pt>
                <c:pt idx="130">
                  <c:v>12.87</c:v>
                </c:pt>
                <c:pt idx="131">
                  <c:v>12.87</c:v>
                </c:pt>
                <c:pt idx="132">
                  <c:v>12.87</c:v>
                </c:pt>
                <c:pt idx="133">
                  <c:v>12.87</c:v>
                </c:pt>
                <c:pt idx="134">
                  <c:v>12.87</c:v>
                </c:pt>
                <c:pt idx="135">
                  <c:v>12.87</c:v>
                </c:pt>
                <c:pt idx="136">
                  <c:v>12.87</c:v>
                </c:pt>
                <c:pt idx="137">
                  <c:v>12.87</c:v>
                </c:pt>
                <c:pt idx="138">
                  <c:v>12.87</c:v>
                </c:pt>
                <c:pt idx="139">
                  <c:v>12.87</c:v>
                </c:pt>
                <c:pt idx="140">
                  <c:v>12.87</c:v>
                </c:pt>
                <c:pt idx="141">
                  <c:v>12.87</c:v>
                </c:pt>
                <c:pt idx="142">
                  <c:v>12.87</c:v>
                </c:pt>
                <c:pt idx="143">
                  <c:v>12.87</c:v>
                </c:pt>
                <c:pt idx="144">
                  <c:v>12.87</c:v>
                </c:pt>
                <c:pt idx="145">
                  <c:v>12.87</c:v>
                </c:pt>
                <c:pt idx="146">
                  <c:v>12.87</c:v>
                </c:pt>
                <c:pt idx="147">
                  <c:v>12.87</c:v>
                </c:pt>
                <c:pt idx="148">
                  <c:v>12.87</c:v>
                </c:pt>
                <c:pt idx="149">
                  <c:v>12.87</c:v>
                </c:pt>
                <c:pt idx="150">
                  <c:v>12.87</c:v>
                </c:pt>
                <c:pt idx="151">
                  <c:v>12.87</c:v>
                </c:pt>
                <c:pt idx="152">
                  <c:v>12.87</c:v>
                </c:pt>
                <c:pt idx="153">
                  <c:v>12.87</c:v>
                </c:pt>
                <c:pt idx="154">
                  <c:v>12.87</c:v>
                </c:pt>
                <c:pt idx="155">
                  <c:v>12.87</c:v>
                </c:pt>
                <c:pt idx="156">
                  <c:v>12.87</c:v>
                </c:pt>
                <c:pt idx="157">
                  <c:v>12.87</c:v>
                </c:pt>
                <c:pt idx="158">
                  <c:v>12.87</c:v>
                </c:pt>
                <c:pt idx="159">
                  <c:v>12.87</c:v>
                </c:pt>
                <c:pt idx="160">
                  <c:v>12.87</c:v>
                </c:pt>
                <c:pt idx="161">
                  <c:v>12.87</c:v>
                </c:pt>
                <c:pt idx="162">
                  <c:v>12.87</c:v>
                </c:pt>
                <c:pt idx="163">
                  <c:v>12.87</c:v>
                </c:pt>
                <c:pt idx="164">
                  <c:v>12.87</c:v>
                </c:pt>
                <c:pt idx="165">
                  <c:v>12.87</c:v>
                </c:pt>
                <c:pt idx="166">
                  <c:v>12.87</c:v>
                </c:pt>
                <c:pt idx="167">
                  <c:v>12.87</c:v>
                </c:pt>
                <c:pt idx="168">
                  <c:v>12.87</c:v>
                </c:pt>
                <c:pt idx="169">
                  <c:v>12.87</c:v>
                </c:pt>
                <c:pt idx="170">
                  <c:v>12.87</c:v>
                </c:pt>
                <c:pt idx="171">
                  <c:v>12.87</c:v>
                </c:pt>
                <c:pt idx="172">
                  <c:v>12.87</c:v>
                </c:pt>
                <c:pt idx="173">
                  <c:v>12.87</c:v>
                </c:pt>
                <c:pt idx="174">
                  <c:v>12.87</c:v>
                </c:pt>
                <c:pt idx="175">
                  <c:v>12.87</c:v>
                </c:pt>
                <c:pt idx="176">
                  <c:v>12.87</c:v>
                </c:pt>
                <c:pt idx="177">
                  <c:v>12.87</c:v>
                </c:pt>
                <c:pt idx="178">
                  <c:v>12.87</c:v>
                </c:pt>
                <c:pt idx="179">
                  <c:v>12.87</c:v>
                </c:pt>
                <c:pt idx="180">
                  <c:v>12.87</c:v>
                </c:pt>
                <c:pt idx="181">
                  <c:v>12.87</c:v>
                </c:pt>
                <c:pt idx="182">
                  <c:v>12.87</c:v>
                </c:pt>
                <c:pt idx="183">
                  <c:v>12.87</c:v>
                </c:pt>
                <c:pt idx="184">
                  <c:v>12.87</c:v>
                </c:pt>
                <c:pt idx="185">
                  <c:v>12.87</c:v>
                </c:pt>
                <c:pt idx="186">
                  <c:v>12.87</c:v>
                </c:pt>
                <c:pt idx="187">
                  <c:v>12.87</c:v>
                </c:pt>
                <c:pt idx="188">
                  <c:v>12.87</c:v>
                </c:pt>
                <c:pt idx="189">
                  <c:v>12.87</c:v>
                </c:pt>
                <c:pt idx="190">
                  <c:v>12.87</c:v>
                </c:pt>
                <c:pt idx="191">
                  <c:v>12.87</c:v>
                </c:pt>
                <c:pt idx="192">
                  <c:v>12.87</c:v>
                </c:pt>
                <c:pt idx="193">
                  <c:v>12.87</c:v>
                </c:pt>
                <c:pt idx="194">
                  <c:v>12.87</c:v>
                </c:pt>
                <c:pt idx="195">
                  <c:v>12.87</c:v>
                </c:pt>
                <c:pt idx="196">
                  <c:v>12.87</c:v>
                </c:pt>
                <c:pt idx="197">
                  <c:v>12.87</c:v>
                </c:pt>
                <c:pt idx="198">
                  <c:v>12.87</c:v>
                </c:pt>
                <c:pt idx="199">
                  <c:v>12.87</c:v>
                </c:pt>
                <c:pt idx="200">
                  <c:v>12.87</c:v>
                </c:pt>
              </c:numCache>
            </c:numRef>
          </c:xVal>
          <c:yVal>
            <c:numRef>
              <c:f>Utility!$F$2:$F$202</c:f>
              <c:numCache>
                <c:formatCode>_(* #,##0.0_);_(* \(#,##0.0\);_(* "-"??_);_(@_)</c:formatCode>
                <c:ptCount val="201"/>
                <c:pt idx="0">
                  <c:v>-55.000000000000007</c:v>
                </c:pt>
                <c:pt idx="1">
                  <c:v>-55.000000000000007</c:v>
                </c:pt>
                <c:pt idx="2">
                  <c:v>-55.000000000000007</c:v>
                </c:pt>
                <c:pt idx="3">
                  <c:v>-55.000000000000007</c:v>
                </c:pt>
                <c:pt idx="4">
                  <c:v>-55.000000000000007</c:v>
                </c:pt>
                <c:pt idx="5">
                  <c:v>-55.000000000000007</c:v>
                </c:pt>
                <c:pt idx="6">
                  <c:v>-55.000000000000007</c:v>
                </c:pt>
                <c:pt idx="7">
                  <c:v>-55.000000000000007</c:v>
                </c:pt>
                <c:pt idx="8">
                  <c:v>-55.000000000000007</c:v>
                </c:pt>
                <c:pt idx="9">
                  <c:v>-55.000000000000007</c:v>
                </c:pt>
                <c:pt idx="10">
                  <c:v>-55.000000000000007</c:v>
                </c:pt>
                <c:pt idx="11">
                  <c:v>-55.000000000000007</c:v>
                </c:pt>
                <c:pt idx="12">
                  <c:v>-55.000000000000007</c:v>
                </c:pt>
                <c:pt idx="13">
                  <c:v>-55.000000000000007</c:v>
                </c:pt>
                <c:pt idx="14">
                  <c:v>-55.000000000000007</c:v>
                </c:pt>
                <c:pt idx="15">
                  <c:v>-55.000000000000007</c:v>
                </c:pt>
                <c:pt idx="16">
                  <c:v>-55.000000000000007</c:v>
                </c:pt>
                <c:pt idx="17">
                  <c:v>-55.000000000000007</c:v>
                </c:pt>
                <c:pt idx="18">
                  <c:v>-55.000000000000007</c:v>
                </c:pt>
                <c:pt idx="19">
                  <c:v>-55.000000000000007</c:v>
                </c:pt>
                <c:pt idx="20">
                  <c:v>-55.000000000000007</c:v>
                </c:pt>
                <c:pt idx="21">
                  <c:v>-55.000000000000007</c:v>
                </c:pt>
                <c:pt idx="22">
                  <c:v>-55.000000000000007</c:v>
                </c:pt>
                <c:pt idx="23">
                  <c:v>-55.000000000000007</c:v>
                </c:pt>
                <c:pt idx="24">
                  <c:v>-55.000000000000007</c:v>
                </c:pt>
                <c:pt idx="25">
                  <c:v>-55.000000000000007</c:v>
                </c:pt>
                <c:pt idx="26">
                  <c:v>-55.000000000000007</c:v>
                </c:pt>
                <c:pt idx="27">
                  <c:v>-55.000000000000007</c:v>
                </c:pt>
                <c:pt idx="28">
                  <c:v>-55.000000000000007</c:v>
                </c:pt>
                <c:pt idx="29">
                  <c:v>-55.000000000000007</c:v>
                </c:pt>
                <c:pt idx="30">
                  <c:v>-55.000000000000007</c:v>
                </c:pt>
                <c:pt idx="31">
                  <c:v>-55.000000000000007</c:v>
                </c:pt>
                <c:pt idx="32">
                  <c:v>-55.000000000000007</c:v>
                </c:pt>
                <c:pt idx="33">
                  <c:v>-55.000000000000007</c:v>
                </c:pt>
                <c:pt idx="34">
                  <c:v>-55.000000000000007</c:v>
                </c:pt>
                <c:pt idx="35">
                  <c:v>-55.000000000000007</c:v>
                </c:pt>
                <c:pt idx="36">
                  <c:v>-55.000000000000007</c:v>
                </c:pt>
                <c:pt idx="37">
                  <c:v>-55.000000000000007</c:v>
                </c:pt>
                <c:pt idx="38">
                  <c:v>-55.000000000000007</c:v>
                </c:pt>
                <c:pt idx="39">
                  <c:v>-55.000000000000007</c:v>
                </c:pt>
                <c:pt idx="40">
                  <c:v>-55.000000000000007</c:v>
                </c:pt>
                <c:pt idx="41">
                  <c:v>-55.000000000000007</c:v>
                </c:pt>
                <c:pt idx="42">
                  <c:v>-55.000000000000007</c:v>
                </c:pt>
                <c:pt idx="43">
                  <c:v>-55.000000000000007</c:v>
                </c:pt>
                <c:pt idx="44">
                  <c:v>-55.000000000000007</c:v>
                </c:pt>
                <c:pt idx="45">
                  <c:v>-55.000000000000007</c:v>
                </c:pt>
                <c:pt idx="46">
                  <c:v>-55.000000000000007</c:v>
                </c:pt>
                <c:pt idx="47">
                  <c:v>-55.000000000000007</c:v>
                </c:pt>
                <c:pt idx="48">
                  <c:v>-55.000000000000007</c:v>
                </c:pt>
                <c:pt idx="49">
                  <c:v>-55.000000000000007</c:v>
                </c:pt>
                <c:pt idx="50">
                  <c:v>-55.000000000000007</c:v>
                </c:pt>
                <c:pt idx="51">
                  <c:v>-55.000000000000007</c:v>
                </c:pt>
                <c:pt idx="52">
                  <c:v>-55.000000000000007</c:v>
                </c:pt>
                <c:pt idx="53">
                  <c:v>-55.000000000000007</c:v>
                </c:pt>
                <c:pt idx="54">
                  <c:v>-55.000000000000007</c:v>
                </c:pt>
                <c:pt idx="55">
                  <c:v>-55.000000000000007</c:v>
                </c:pt>
                <c:pt idx="56">
                  <c:v>-55.000000000000007</c:v>
                </c:pt>
                <c:pt idx="57">
                  <c:v>-55.000000000000007</c:v>
                </c:pt>
                <c:pt idx="58">
                  <c:v>-55.000000000000007</c:v>
                </c:pt>
                <c:pt idx="59">
                  <c:v>-55.000000000000007</c:v>
                </c:pt>
                <c:pt idx="60">
                  <c:v>-55.000000000000007</c:v>
                </c:pt>
                <c:pt idx="61">
                  <c:v>-55.000000000000007</c:v>
                </c:pt>
                <c:pt idx="62">
                  <c:v>-55.000000000000007</c:v>
                </c:pt>
                <c:pt idx="63">
                  <c:v>-55.000000000000007</c:v>
                </c:pt>
                <c:pt idx="64">
                  <c:v>-55.000000000000007</c:v>
                </c:pt>
                <c:pt idx="65">
                  <c:v>-55.000000000000007</c:v>
                </c:pt>
                <c:pt idx="66">
                  <c:v>-55.000000000000007</c:v>
                </c:pt>
                <c:pt idx="67">
                  <c:v>-55.000000000000007</c:v>
                </c:pt>
                <c:pt idx="68">
                  <c:v>-54.777588048507589</c:v>
                </c:pt>
                <c:pt idx="69">
                  <c:v>-53.62828842199179</c:v>
                </c:pt>
                <c:pt idx="70">
                  <c:v>-52.478988795475814</c:v>
                </c:pt>
                <c:pt idx="71">
                  <c:v>-51.329689168960016</c:v>
                </c:pt>
                <c:pt idx="72">
                  <c:v>-50.18038954244404</c:v>
                </c:pt>
                <c:pt idx="73">
                  <c:v>-49.031089915928241</c:v>
                </c:pt>
                <c:pt idx="74">
                  <c:v>-47.881790289412443</c:v>
                </c:pt>
                <c:pt idx="75">
                  <c:v>-46.732490662896645</c:v>
                </c:pt>
                <c:pt idx="76">
                  <c:v>-45.583191036380668</c:v>
                </c:pt>
                <c:pt idx="77">
                  <c:v>-44.43389140986487</c:v>
                </c:pt>
                <c:pt idx="78">
                  <c:v>-43.284591783348894</c:v>
                </c:pt>
                <c:pt idx="79">
                  <c:v>-42.135292156833096</c:v>
                </c:pt>
                <c:pt idx="80">
                  <c:v>-40.985992530317297</c:v>
                </c:pt>
                <c:pt idx="81">
                  <c:v>-39.836692903801321</c:v>
                </c:pt>
                <c:pt idx="82">
                  <c:v>-38.687393277285523</c:v>
                </c:pt>
                <c:pt idx="83">
                  <c:v>-37.538093650769724</c:v>
                </c:pt>
                <c:pt idx="84">
                  <c:v>-36.388794024253748</c:v>
                </c:pt>
                <c:pt idx="85">
                  <c:v>-35.23949439773795</c:v>
                </c:pt>
                <c:pt idx="86">
                  <c:v>-34.090194771222151</c:v>
                </c:pt>
                <c:pt idx="87">
                  <c:v>-32.940895144706175</c:v>
                </c:pt>
                <c:pt idx="88">
                  <c:v>-31.791595518190373</c:v>
                </c:pt>
                <c:pt idx="89">
                  <c:v>-30.642295891674575</c:v>
                </c:pt>
                <c:pt idx="90">
                  <c:v>-29.492996265158599</c:v>
                </c:pt>
                <c:pt idx="91">
                  <c:v>-28.3436966386428</c:v>
                </c:pt>
                <c:pt idx="92">
                  <c:v>-27.194397012127002</c:v>
                </c:pt>
                <c:pt idx="93">
                  <c:v>-26.045097385611026</c:v>
                </c:pt>
                <c:pt idx="94">
                  <c:v>-24.895797759095228</c:v>
                </c:pt>
                <c:pt idx="95">
                  <c:v>-23.746498132579429</c:v>
                </c:pt>
                <c:pt idx="96">
                  <c:v>-22.597198506063453</c:v>
                </c:pt>
                <c:pt idx="97">
                  <c:v>-21.447898879547655</c:v>
                </c:pt>
                <c:pt idx="98">
                  <c:v>-20.298599253031856</c:v>
                </c:pt>
                <c:pt idx="99">
                  <c:v>-19.14929962651588</c:v>
                </c:pt>
                <c:pt idx="100">
                  <c:v>-18.000000000000082</c:v>
                </c:pt>
                <c:pt idx="101">
                  <c:v>-16.850700373484283</c:v>
                </c:pt>
                <c:pt idx="102">
                  <c:v>-15.701400746968307</c:v>
                </c:pt>
                <c:pt idx="103">
                  <c:v>-14.552101120452509</c:v>
                </c:pt>
                <c:pt idx="104">
                  <c:v>-13.40280149393671</c:v>
                </c:pt>
                <c:pt idx="105">
                  <c:v>-12.253501867420734</c:v>
                </c:pt>
                <c:pt idx="106">
                  <c:v>-11.104202240904936</c:v>
                </c:pt>
                <c:pt idx="107">
                  <c:v>-9.9549026143891375</c:v>
                </c:pt>
                <c:pt idx="108">
                  <c:v>-8.8056029878731614</c:v>
                </c:pt>
                <c:pt idx="109">
                  <c:v>-7.6563033613573639</c:v>
                </c:pt>
                <c:pt idx="110">
                  <c:v>-6.5070037348415655</c:v>
                </c:pt>
                <c:pt idx="111">
                  <c:v>-5.3577041083255894</c:v>
                </c:pt>
                <c:pt idx="112">
                  <c:v>-4.208404481809791</c:v>
                </c:pt>
                <c:pt idx="113">
                  <c:v>-3.0591048552939926</c:v>
                </c:pt>
                <c:pt idx="114">
                  <c:v>-1.9098052287780165</c:v>
                </c:pt>
                <c:pt idx="115">
                  <c:v>-0.76050560226221808</c:v>
                </c:pt>
                <c:pt idx="116">
                  <c:v>0.38879402425358034</c:v>
                </c:pt>
                <c:pt idx="117">
                  <c:v>1.5380936507695564</c:v>
                </c:pt>
                <c:pt idx="118">
                  <c:v>2.6873932772853548</c:v>
                </c:pt>
                <c:pt idx="119">
                  <c:v>3.8366929038011532</c:v>
                </c:pt>
                <c:pt idx="120">
                  <c:v>4.9859925303171293</c:v>
                </c:pt>
                <c:pt idx="121">
                  <c:v>6.1352921568329277</c:v>
                </c:pt>
                <c:pt idx="122">
                  <c:v>7.2845917833487261</c:v>
                </c:pt>
                <c:pt idx="123">
                  <c:v>8.4338914098647031</c:v>
                </c:pt>
                <c:pt idx="124">
                  <c:v>9.5831910363805015</c:v>
                </c:pt>
                <c:pt idx="125">
                  <c:v>10.732490662896478</c:v>
                </c:pt>
                <c:pt idx="126">
                  <c:v>11.881790289412276</c:v>
                </c:pt>
                <c:pt idx="127">
                  <c:v>13.031089915928074</c:v>
                </c:pt>
                <c:pt idx="128">
                  <c:v>14.180389542443873</c:v>
                </c:pt>
                <c:pt idx="129">
                  <c:v>15.329689168959849</c:v>
                </c:pt>
                <c:pt idx="130">
                  <c:v>16.478988795475647</c:v>
                </c:pt>
                <c:pt idx="131">
                  <c:v>17.628288421991623</c:v>
                </c:pt>
                <c:pt idx="132">
                  <c:v>18.777588048507422</c:v>
                </c:pt>
                <c:pt idx="133">
                  <c:v>19.92688767502322</c:v>
                </c:pt>
                <c:pt idx="134">
                  <c:v>21.076187301539196</c:v>
                </c:pt>
                <c:pt idx="135">
                  <c:v>22.225486928054995</c:v>
                </c:pt>
                <c:pt idx="136">
                  <c:v>23.374786554570793</c:v>
                </c:pt>
                <c:pt idx="137">
                  <c:v>24.524086181086769</c:v>
                </c:pt>
                <c:pt idx="138">
                  <c:v>25.673385807602568</c:v>
                </c:pt>
                <c:pt idx="139">
                  <c:v>26.822685434118366</c:v>
                </c:pt>
                <c:pt idx="140">
                  <c:v>27.971985060634342</c:v>
                </c:pt>
                <c:pt idx="141">
                  <c:v>29.121284687150141</c:v>
                </c:pt>
                <c:pt idx="142">
                  <c:v>30.270584313665939</c:v>
                </c:pt>
                <c:pt idx="143">
                  <c:v>31.419883940181915</c:v>
                </c:pt>
                <c:pt idx="144">
                  <c:v>32.56918356669771</c:v>
                </c:pt>
                <c:pt idx="145">
                  <c:v>33.718483193213508</c:v>
                </c:pt>
                <c:pt idx="146">
                  <c:v>34.867782819729484</c:v>
                </c:pt>
                <c:pt idx="147">
                  <c:v>36.017082446245283</c:v>
                </c:pt>
                <c:pt idx="148">
                  <c:v>37.166382072761081</c:v>
                </c:pt>
                <c:pt idx="149">
                  <c:v>38.315681699277057</c:v>
                </c:pt>
                <c:pt idx="150">
                  <c:v>39.464981325792856</c:v>
                </c:pt>
                <c:pt idx="151">
                  <c:v>40.614280952308654</c:v>
                </c:pt>
                <c:pt idx="152">
                  <c:v>41.76358057882463</c:v>
                </c:pt>
                <c:pt idx="153">
                  <c:v>42.912880205340429</c:v>
                </c:pt>
                <c:pt idx="154">
                  <c:v>44.062179831856227</c:v>
                </c:pt>
                <c:pt idx="155">
                  <c:v>45.211479458372203</c:v>
                </c:pt>
                <c:pt idx="156">
                  <c:v>46.360779084888001</c:v>
                </c:pt>
                <c:pt idx="157">
                  <c:v>47.5100787114038</c:v>
                </c:pt>
                <c:pt idx="158">
                  <c:v>48.659378337919776</c:v>
                </c:pt>
                <c:pt idx="159">
                  <c:v>49.808677964435574</c:v>
                </c:pt>
                <c:pt idx="160">
                  <c:v>50.957977590951373</c:v>
                </c:pt>
                <c:pt idx="161">
                  <c:v>52.107277217467349</c:v>
                </c:pt>
                <c:pt idx="162">
                  <c:v>53.256576843983147</c:v>
                </c:pt>
                <c:pt idx="163">
                  <c:v>54.405876470498946</c:v>
                </c:pt>
                <c:pt idx="164">
                  <c:v>55.555176097014922</c:v>
                </c:pt>
                <c:pt idx="165">
                  <c:v>56.70447572353072</c:v>
                </c:pt>
                <c:pt idx="166">
                  <c:v>57.853775350046519</c:v>
                </c:pt>
                <c:pt idx="167">
                  <c:v>59.003074976562495</c:v>
                </c:pt>
                <c:pt idx="168">
                  <c:v>60.152374603078293</c:v>
                </c:pt>
                <c:pt idx="169">
                  <c:v>61.301674229594092</c:v>
                </c:pt>
                <c:pt idx="170">
                  <c:v>62.450973856110068</c:v>
                </c:pt>
                <c:pt idx="171">
                  <c:v>63.600273482625866</c:v>
                </c:pt>
                <c:pt idx="172">
                  <c:v>64.749573109141849</c:v>
                </c:pt>
                <c:pt idx="173">
                  <c:v>65.898872735657648</c:v>
                </c:pt>
                <c:pt idx="174">
                  <c:v>67.048172362173446</c:v>
                </c:pt>
                <c:pt idx="175">
                  <c:v>68.197471988689244</c:v>
                </c:pt>
                <c:pt idx="176">
                  <c:v>69.346771615205213</c:v>
                </c:pt>
                <c:pt idx="177">
                  <c:v>70.496071241721012</c:v>
                </c:pt>
                <c:pt idx="178">
                  <c:v>71.645370868236995</c:v>
                </c:pt>
                <c:pt idx="179">
                  <c:v>72.794670494752793</c:v>
                </c:pt>
                <c:pt idx="180">
                  <c:v>73.943970121268592</c:v>
                </c:pt>
                <c:pt idx="181">
                  <c:v>75.09326974778439</c:v>
                </c:pt>
                <c:pt idx="182">
                  <c:v>76.242569374300359</c:v>
                </c:pt>
                <c:pt idx="183">
                  <c:v>77.391869000816158</c:v>
                </c:pt>
                <c:pt idx="184">
                  <c:v>78.541168627332141</c:v>
                </c:pt>
                <c:pt idx="185">
                  <c:v>79.690468253847939</c:v>
                </c:pt>
                <c:pt idx="186">
                  <c:v>80.839767880363738</c:v>
                </c:pt>
                <c:pt idx="187">
                  <c:v>81.989067506879707</c:v>
                </c:pt>
                <c:pt idx="188">
                  <c:v>83.138367133395505</c:v>
                </c:pt>
                <c:pt idx="189">
                  <c:v>84.287666759911303</c:v>
                </c:pt>
                <c:pt idx="190">
                  <c:v>85.436966386427287</c:v>
                </c:pt>
                <c:pt idx="191">
                  <c:v>86.586266012943085</c:v>
                </c:pt>
                <c:pt idx="192">
                  <c:v>87.735565639458883</c:v>
                </c:pt>
                <c:pt idx="193">
                  <c:v>88.884865265974852</c:v>
                </c:pt>
                <c:pt idx="194">
                  <c:v>90.034164892490651</c:v>
                </c:pt>
                <c:pt idx="195">
                  <c:v>91.183464519006449</c:v>
                </c:pt>
                <c:pt idx="196">
                  <c:v>92.332764145522432</c:v>
                </c:pt>
                <c:pt idx="197">
                  <c:v>93.482063772038231</c:v>
                </c:pt>
                <c:pt idx="198">
                  <c:v>94.631363398554029</c:v>
                </c:pt>
                <c:pt idx="199">
                  <c:v>95.780663025069998</c:v>
                </c:pt>
                <c:pt idx="200">
                  <c:v>96.929962651585797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575-40F8-954C-F04F2E14A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1917952"/>
        <c:axId val="1331918368"/>
      </c:scatterChart>
      <c:scatterChart>
        <c:scatterStyle val="smoothMarker"/>
        <c:varyColors val="0"/>
        <c:ser>
          <c:idx val="1"/>
          <c:order val="1"/>
          <c:tx>
            <c:v>HPR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Utility!$E$2:$E$202</c:f>
              <c:numCache>
                <c:formatCode>_(* #,##0.00_);_(* \(#,##0.00\);_(* "-"??_);_(@_)</c:formatCode>
                <c:ptCount val="201"/>
                <c:pt idx="0">
                  <c:v>11.72070037348414</c:v>
                </c:pt>
                <c:pt idx="1">
                  <c:v>11.732193369749298</c:v>
                </c:pt>
                <c:pt idx="2">
                  <c:v>11.743686366014458</c:v>
                </c:pt>
                <c:pt idx="3">
                  <c:v>11.755179362279616</c:v>
                </c:pt>
                <c:pt idx="4">
                  <c:v>11.766672358544774</c:v>
                </c:pt>
                <c:pt idx="5">
                  <c:v>11.778165354809934</c:v>
                </c:pt>
                <c:pt idx="6">
                  <c:v>11.789658351075092</c:v>
                </c:pt>
                <c:pt idx="7">
                  <c:v>11.80115134734025</c:v>
                </c:pt>
                <c:pt idx="8">
                  <c:v>11.81264434360541</c:v>
                </c:pt>
                <c:pt idx="9">
                  <c:v>11.824137339870568</c:v>
                </c:pt>
                <c:pt idx="10">
                  <c:v>11.835630336135726</c:v>
                </c:pt>
                <c:pt idx="11">
                  <c:v>11.847123332400885</c:v>
                </c:pt>
                <c:pt idx="12">
                  <c:v>11.858616328666043</c:v>
                </c:pt>
                <c:pt idx="13">
                  <c:v>11.870109324931201</c:v>
                </c:pt>
                <c:pt idx="14">
                  <c:v>11.881602321196361</c:v>
                </c:pt>
                <c:pt idx="15">
                  <c:v>11.893095317461519</c:v>
                </c:pt>
                <c:pt idx="16">
                  <c:v>11.904588313726677</c:v>
                </c:pt>
                <c:pt idx="17">
                  <c:v>11.916081309991837</c:v>
                </c:pt>
                <c:pt idx="18">
                  <c:v>11.927574306256995</c:v>
                </c:pt>
                <c:pt idx="19">
                  <c:v>11.939067302522155</c:v>
                </c:pt>
                <c:pt idx="20">
                  <c:v>11.950560298787313</c:v>
                </c:pt>
                <c:pt idx="21">
                  <c:v>11.962053295052471</c:v>
                </c:pt>
                <c:pt idx="22">
                  <c:v>11.973546291317628</c:v>
                </c:pt>
                <c:pt idx="23">
                  <c:v>11.985039287582788</c:v>
                </c:pt>
                <c:pt idx="24">
                  <c:v>11.996532283847946</c:v>
                </c:pt>
                <c:pt idx="25">
                  <c:v>12.008025280113106</c:v>
                </c:pt>
                <c:pt idx="26">
                  <c:v>12.019518276378264</c:v>
                </c:pt>
                <c:pt idx="27">
                  <c:v>12.031011272643422</c:v>
                </c:pt>
                <c:pt idx="28">
                  <c:v>12.04250426890858</c:v>
                </c:pt>
                <c:pt idx="29">
                  <c:v>12.05399726517374</c:v>
                </c:pt>
                <c:pt idx="30">
                  <c:v>12.065490261438898</c:v>
                </c:pt>
                <c:pt idx="31">
                  <c:v>12.076983257704057</c:v>
                </c:pt>
                <c:pt idx="32">
                  <c:v>12.088476253969215</c:v>
                </c:pt>
                <c:pt idx="33">
                  <c:v>12.099969250234373</c:v>
                </c:pt>
                <c:pt idx="34">
                  <c:v>12.111462246499533</c:v>
                </c:pt>
                <c:pt idx="35">
                  <c:v>12.122955242764691</c:v>
                </c:pt>
                <c:pt idx="36">
                  <c:v>12.134448239029849</c:v>
                </c:pt>
                <c:pt idx="37">
                  <c:v>12.145941235295009</c:v>
                </c:pt>
                <c:pt idx="38">
                  <c:v>12.157434231560167</c:v>
                </c:pt>
                <c:pt idx="39">
                  <c:v>12.168927227825325</c:v>
                </c:pt>
                <c:pt idx="40">
                  <c:v>12.180420224090485</c:v>
                </c:pt>
                <c:pt idx="41">
                  <c:v>12.191913220355643</c:v>
                </c:pt>
                <c:pt idx="42">
                  <c:v>12.203406216620801</c:v>
                </c:pt>
                <c:pt idx="43">
                  <c:v>12.21489921288596</c:v>
                </c:pt>
                <c:pt idx="44">
                  <c:v>12.226392209151118</c:v>
                </c:pt>
                <c:pt idx="45">
                  <c:v>12.237885205416276</c:v>
                </c:pt>
                <c:pt idx="46">
                  <c:v>12.249378201681436</c:v>
                </c:pt>
                <c:pt idx="47">
                  <c:v>12.260871197946594</c:v>
                </c:pt>
                <c:pt idx="48">
                  <c:v>12.272364194211752</c:v>
                </c:pt>
                <c:pt idx="49">
                  <c:v>12.283857190476912</c:v>
                </c:pt>
                <c:pt idx="50">
                  <c:v>12.29535018674207</c:v>
                </c:pt>
                <c:pt idx="51">
                  <c:v>12.306843183007228</c:v>
                </c:pt>
                <c:pt idx="52">
                  <c:v>12.318336179272388</c:v>
                </c:pt>
                <c:pt idx="53">
                  <c:v>12.329829175537546</c:v>
                </c:pt>
                <c:pt idx="54">
                  <c:v>12.341322171802704</c:v>
                </c:pt>
                <c:pt idx="55">
                  <c:v>12.352815168067863</c:v>
                </c:pt>
                <c:pt idx="56">
                  <c:v>12.364308164333021</c:v>
                </c:pt>
                <c:pt idx="57">
                  <c:v>12.375801160598179</c:v>
                </c:pt>
                <c:pt idx="58">
                  <c:v>12.387294156863339</c:v>
                </c:pt>
                <c:pt idx="59">
                  <c:v>12.398787153128497</c:v>
                </c:pt>
                <c:pt idx="60">
                  <c:v>12.410280149393655</c:v>
                </c:pt>
                <c:pt idx="61">
                  <c:v>12.421773145658815</c:v>
                </c:pt>
                <c:pt idx="62">
                  <c:v>12.433266141923973</c:v>
                </c:pt>
                <c:pt idx="63">
                  <c:v>12.444759138189131</c:v>
                </c:pt>
                <c:pt idx="64">
                  <c:v>12.45625213445429</c:v>
                </c:pt>
                <c:pt idx="65">
                  <c:v>12.467745130719448</c:v>
                </c:pt>
                <c:pt idx="66">
                  <c:v>12.479238126984606</c:v>
                </c:pt>
                <c:pt idx="67">
                  <c:v>12.490731123249766</c:v>
                </c:pt>
                <c:pt idx="68">
                  <c:v>12.502224119514924</c:v>
                </c:pt>
                <c:pt idx="69">
                  <c:v>12.513717115780082</c:v>
                </c:pt>
                <c:pt idx="70">
                  <c:v>12.525210112045242</c:v>
                </c:pt>
                <c:pt idx="71">
                  <c:v>12.5367031083104</c:v>
                </c:pt>
                <c:pt idx="72">
                  <c:v>12.54819610457556</c:v>
                </c:pt>
                <c:pt idx="73">
                  <c:v>12.559689100840718</c:v>
                </c:pt>
                <c:pt idx="74">
                  <c:v>12.571182097105876</c:v>
                </c:pt>
                <c:pt idx="75">
                  <c:v>12.582675093371034</c:v>
                </c:pt>
                <c:pt idx="76">
                  <c:v>12.594168089636193</c:v>
                </c:pt>
                <c:pt idx="77">
                  <c:v>12.605661085901351</c:v>
                </c:pt>
                <c:pt idx="78">
                  <c:v>12.617154082166511</c:v>
                </c:pt>
                <c:pt idx="79">
                  <c:v>12.628647078431669</c:v>
                </c:pt>
                <c:pt idx="80">
                  <c:v>12.640140074696827</c:v>
                </c:pt>
                <c:pt idx="81">
                  <c:v>12.651633070961987</c:v>
                </c:pt>
                <c:pt idx="82">
                  <c:v>12.663126067227145</c:v>
                </c:pt>
                <c:pt idx="83">
                  <c:v>12.674619063492303</c:v>
                </c:pt>
                <c:pt idx="84">
                  <c:v>12.686112059757463</c:v>
                </c:pt>
                <c:pt idx="85">
                  <c:v>12.697605056022621</c:v>
                </c:pt>
                <c:pt idx="86">
                  <c:v>12.709098052287779</c:v>
                </c:pt>
                <c:pt idx="87">
                  <c:v>12.720591048552938</c:v>
                </c:pt>
                <c:pt idx="88">
                  <c:v>12.732084044818096</c:v>
                </c:pt>
                <c:pt idx="89">
                  <c:v>12.743577041083254</c:v>
                </c:pt>
                <c:pt idx="90">
                  <c:v>12.755070037348414</c:v>
                </c:pt>
                <c:pt idx="91">
                  <c:v>12.766563033613572</c:v>
                </c:pt>
                <c:pt idx="92">
                  <c:v>12.77805602987873</c:v>
                </c:pt>
                <c:pt idx="93">
                  <c:v>12.78954902614389</c:v>
                </c:pt>
                <c:pt idx="94">
                  <c:v>12.801042022409048</c:v>
                </c:pt>
                <c:pt idx="95">
                  <c:v>12.812535018674206</c:v>
                </c:pt>
                <c:pt idx="96">
                  <c:v>12.824028014939366</c:v>
                </c:pt>
                <c:pt idx="97">
                  <c:v>12.835521011204523</c:v>
                </c:pt>
                <c:pt idx="98">
                  <c:v>12.847014007469681</c:v>
                </c:pt>
                <c:pt idx="99">
                  <c:v>12.858507003734841</c:v>
                </c:pt>
                <c:pt idx="100">
                  <c:v>12.87</c:v>
                </c:pt>
                <c:pt idx="101">
                  <c:v>12.881492996265157</c:v>
                </c:pt>
                <c:pt idx="102">
                  <c:v>12.892985992530317</c:v>
                </c:pt>
                <c:pt idx="103">
                  <c:v>12.904478988795475</c:v>
                </c:pt>
                <c:pt idx="104">
                  <c:v>12.915971985060633</c:v>
                </c:pt>
                <c:pt idx="105">
                  <c:v>12.927464981325793</c:v>
                </c:pt>
                <c:pt idx="106">
                  <c:v>12.938957977590951</c:v>
                </c:pt>
                <c:pt idx="107">
                  <c:v>12.950450973856109</c:v>
                </c:pt>
                <c:pt idx="108">
                  <c:v>12.961943970121268</c:v>
                </c:pt>
                <c:pt idx="109">
                  <c:v>12.973436966386426</c:v>
                </c:pt>
                <c:pt idx="110">
                  <c:v>12.984929962651584</c:v>
                </c:pt>
                <c:pt idx="111">
                  <c:v>12.996422958916744</c:v>
                </c:pt>
                <c:pt idx="112">
                  <c:v>13.007915955181902</c:v>
                </c:pt>
                <c:pt idx="113">
                  <c:v>13.01940895144706</c:v>
                </c:pt>
                <c:pt idx="114">
                  <c:v>13.03090194771222</c:v>
                </c:pt>
                <c:pt idx="115">
                  <c:v>13.042394943977378</c:v>
                </c:pt>
                <c:pt idx="116">
                  <c:v>13.053887940242536</c:v>
                </c:pt>
                <c:pt idx="117">
                  <c:v>13.065380936507696</c:v>
                </c:pt>
                <c:pt idx="118">
                  <c:v>13.076873932772854</c:v>
                </c:pt>
                <c:pt idx="119">
                  <c:v>13.088366929038012</c:v>
                </c:pt>
                <c:pt idx="120">
                  <c:v>13.099859925303171</c:v>
                </c:pt>
                <c:pt idx="121">
                  <c:v>13.111352921568329</c:v>
                </c:pt>
                <c:pt idx="122">
                  <c:v>13.122845917833487</c:v>
                </c:pt>
                <c:pt idx="123">
                  <c:v>13.134338914098647</c:v>
                </c:pt>
                <c:pt idx="124">
                  <c:v>13.145831910363805</c:v>
                </c:pt>
                <c:pt idx="125">
                  <c:v>13.157324906628965</c:v>
                </c:pt>
                <c:pt idx="126">
                  <c:v>13.168817902894123</c:v>
                </c:pt>
                <c:pt idx="127">
                  <c:v>13.180310899159281</c:v>
                </c:pt>
                <c:pt idx="128">
                  <c:v>13.191803895424439</c:v>
                </c:pt>
                <c:pt idx="129">
                  <c:v>13.203296891689599</c:v>
                </c:pt>
                <c:pt idx="130">
                  <c:v>13.214789887954757</c:v>
                </c:pt>
                <c:pt idx="131">
                  <c:v>13.226282884219916</c:v>
                </c:pt>
                <c:pt idx="132">
                  <c:v>13.237775880485074</c:v>
                </c:pt>
                <c:pt idx="133">
                  <c:v>13.249268876750232</c:v>
                </c:pt>
                <c:pt idx="134">
                  <c:v>13.260761873015392</c:v>
                </c:pt>
                <c:pt idx="135">
                  <c:v>13.27225486928055</c:v>
                </c:pt>
                <c:pt idx="136">
                  <c:v>13.283747865545708</c:v>
                </c:pt>
                <c:pt idx="137">
                  <c:v>13.295240861810868</c:v>
                </c:pt>
                <c:pt idx="138">
                  <c:v>13.306733858076026</c:v>
                </c:pt>
                <c:pt idx="139">
                  <c:v>13.318226854341184</c:v>
                </c:pt>
                <c:pt idx="140">
                  <c:v>13.329719850606343</c:v>
                </c:pt>
                <c:pt idx="141">
                  <c:v>13.341212846871501</c:v>
                </c:pt>
                <c:pt idx="142">
                  <c:v>13.352705843136659</c:v>
                </c:pt>
                <c:pt idx="143">
                  <c:v>13.364198839401819</c:v>
                </c:pt>
                <c:pt idx="144">
                  <c:v>13.375691835666977</c:v>
                </c:pt>
                <c:pt idx="145">
                  <c:v>13.387184831932135</c:v>
                </c:pt>
                <c:pt idx="146">
                  <c:v>13.398677828197295</c:v>
                </c:pt>
                <c:pt idx="147">
                  <c:v>13.410170824462453</c:v>
                </c:pt>
                <c:pt idx="148">
                  <c:v>13.421663820727611</c:v>
                </c:pt>
                <c:pt idx="149">
                  <c:v>13.433156816992771</c:v>
                </c:pt>
                <c:pt idx="150">
                  <c:v>13.444649813257929</c:v>
                </c:pt>
                <c:pt idx="151">
                  <c:v>13.456142809523087</c:v>
                </c:pt>
                <c:pt idx="152">
                  <c:v>13.467635805788246</c:v>
                </c:pt>
                <c:pt idx="153">
                  <c:v>13.479128802053404</c:v>
                </c:pt>
                <c:pt idx="154">
                  <c:v>13.490621798318562</c:v>
                </c:pt>
                <c:pt idx="155">
                  <c:v>13.502114794583722</c:v>
                </c:pt>
                <c:pt idx="156">
                  <c:v>13.51360779084888</c:v>
                </c:pt>
                <c:pt idx="157">
                  <c:v>13.525100787114038</c:v>
                </c:pt>
                <c:pt idx="158">
                  <c:v>13.536593783379198</c:v>
                </c:pt>
                <c:pt idx="159">
                  <c:v>13.548086779644356</c:v>
                </c:pt>
                <c:pt idx="160">
                  <c:v>13.559579775909514</c:v>
                </c:pt>
                <c:pt idx="161">
                  <c:v>13.571072772174674</c:v>
                </c:pt>
                <c:pt idx="162">
                  <c:v>13.582565768439832</c:v>
                </c:pt>
                <c:pt idx="163">
                  <c:v>13.59405876470499</c:v>
                </c:pt>
                <c:pt idx="164">
                  <c:v>13.605551760970149</c:v>
                </c:pt>
                <c:pt idx="165">
                  <c:v>13.617044757235307</c:v>
                </c:pt>
                <c:pt idx="166">
                  <c:v>13.628537753500465</c:v>
                </c:pt>
                <c:pt idx="167">
                  <c:v>13.640030749765625</c:v>
                </c:pt>
                <c:pt idx="168">
                  <c:v>13.651523746030783</c:v>
                </c:pt>
                <c:pt idx="169">
                  <c:v>13.663016742295941</c:v>
                </c:pt>
                <c:pt idx="170">
                  <c:v>13.674509738561101</c:v>
                </c:pt>
                <c:pt idx="171">
                  <c:v>13.686002734826259</c:v>
                </c:pt>
                <c:pt idx="172">
                  <c:v>13.697495731091418</c:v>
                </c:pt>
                <c:pt idx="173">
                  <c:v>13.708988727356576</c:v>
                </c:pt>
                <c:pt idx="174">
                  <c:v>13.720481723621734</c:v>
                </c:pt>
                <c:pt idx="175">
                  <c:v>13.731974719886892</c:v>
                </c:pt>
                <c:pt idx="176">
                  <c:v>13.743467716152052</c:v>
                </c:pt>
                <c:pt idx="177">
                  <c:v>13.75496071241721</c:v>
                </c:pt>
                <c:pt idx="178">
                  <c:v>13.76645370868237</c:v>
                </c:pt>
                <c:pt idx="179">
                  <c:v>13.777946704947528</c:v>
                </c:pt>
                <c:pt idx="180">
                  <c:v>13.789439701212686</c:v>
                </c:pt>
                <c:pt idx="181">
                  <c:v>13.800932697477844</c:v>
                </c:pt>
                <c:pt idx="182">
                  <c:v>13.812425693743004</c:v>
                </c:pt>
                <c:pt idx="183">
                  <c:v>13.823918690008162</c:v>
                </c:pt>
                <c:pt idx="184">
                  <c:v>13.835411686273321</c:v>
                </c:pt>
                <c:pt idx="185">
                  <c:v>13.846904682538479</c:v>
                </c:pt>
                <c:pt idx="186">
                  <c:v>13.858397678803637</c:v>
                </c:pt>
                <c:pt idx="187">
                  <c:v>13.869890675068797</c:v>
                </c:pt>
                <c:pt idx="188">
                  <c:v>13.881383671333955</c:v>
                </c:pt>
                <c:pt idx="189">
                  <c:v>13.892876667599113</c:v>
                </c:pt>
                <c:pt idx="190">
                  <c:v>13.904369663864273</c:v>
                </c:pt>
                <c:pt idx="191">
                  <c:v>13.915862660129431</c:v>
                </c:pt>
                <c:pt idx="192">
                  <c:v>13.927355656394589</c:v>
                </c:pt>
                <c:pt idx="193">
                  <c:v>13.938848652659749</c:v>
                </c:pt>
                <c:pt idx="194">
                  <c:v>13.950341648924907</c:v>
                </c:pt>
                <c:pt idx="195">
                  <c:v>13.961834645190065</c:v>
                </c:pt>
                <c:pt idx="196">
                  <c:v>13.973327641455224</c:v>
                </c:pt>
                <c:pt idx="197">
                  <c:v>13.984820637720382</c:v>
                </c:pt>
                <c:pt idx="198">
                  <c:v>13.99631363398554</c:v>
                </c:pt>
                <c:pt idx="199">
                  <c:v>14.0078066302507</c:v>
                </c:pt>
                <c:pt idx="200">
                  <c:v>14.019299626515858</c:v>
                </c:pt>
              </c:numCache>
            </c:numRef>
          </c:xVal>
          <c:yVal>
            <c:numRef>
              <c:f>Utility!$G$2:$G$202</c:f>
              <c:numCache>
                <c:formatCode>0%</c:formatCode>
                <c:ptCount val="20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  <c:pt idx="21">
                  <c:v>-1</c:v>
                </c:pt>
                <c:pt idx="22">
                  <c:v>-1</c:v>
                </c:pt>
                <c:pt idx="23">
                  <c:v>-1</c:v>
                </c:pt>
                <c:pt idx="24">
                  <c:v>-1</c:v>
                </c:pt>
                <c:pt idx="25">
                  <c:v>-1</c:v>
                </c:pt>
                <c:pt idx="26">
                  <c:v>-1</c:v>
                </c:pt>
                <c:pt idx="27">
                  <c:v>-1</c:v>
                </c:pt>
                <c:pt idx="28">
                  <c:v>-1</c:v>
                </c:pt>
                <c:pt idx="29">
                  <c:v>-1</c:v>
                </c:pt>
                <c:pt idx="30">
                  <c:v>-1</c:v>
                </c:pt>
                <c:pt idx="31">
                  <c:v>-1</c:v>
                </c:pt>
                <c:pt idx="32">
                  <c:v>-1</c:v>
                </c:pt>
                <c:pt idx="33">
                  <c:v>-1</c:v>
                </c:pt>
                <c:pt idx="34">
                  <c:v>-1</c:v>
                </c:pt>
                <c:pt idx="35">
                  <c:v>-1</c:v>
                </c:pt>
                <c:pt idx="36">
                  <c:v>-1</c:v>
                </c:pt>
                <c:pt idx="37">
                  <c:v>-1</c:v>
                </c:pt>
                <c:pt idx="38">
                  <c:v>-1</c:v>
                </c:pt>
                <c:pt idx="39">
                  <c:v>-1</c:v>
                </c:pt>
                <c:pt idx="40">
                  <c:v>-1</c:v>
                </c:pt>
                <c:pt idx="41">
                  <c:v>-1</c:v>
                </c:pt>
                <c:pt idx="42">
                  <c:v>-1</c:v>
                </c:pt>
                <c:pt idx="43">
                  <c:v>-1</c:v>
                </c:pt>
                <c:pt idx="44">
                  <c:v>-1</c:v>
                </c:pt>
                <c:pt idx="45">
                  <c:v>-1</c:v>
                </c:pt>
                <c:pt idx="46">
                  <c:v>-1</c:v>
                </c:pt>
                <c:pt idx="47">
                  <c:v>-1</c:v>
                </c:pt>
                <c:pt idx="48">
                  <c:v>-1</c:v>
                </c:pt>
                <c:pt idx="49">
                  <c:v>-1</c:v>
                </c:pt>
                <c:pt idx="50">
                  <c:v>-1</c:v>
                </c:pt>
                <c:pt idx="51">
                  <c:v>-1</c:v>
                </c:pt>
                <c:pt idx="52">
                  <c:v>-1</c:v>
                </c:pt>
                <c:pt idx="53">
                  <c:v>-1</c:v>
                </c:pt>
                <c:pt idx="54">
                  <c:v>-1</c:v>
                </c:pt>
                <c:pt idx="55">
                  <c:v>-1</c:v>
                </c:pt>
                <c:pt idx="56">
                  <c:v>-1</c:v>
                </c:pt>
                <c:pt idx="57">
                  <c:v>-1</c:v>
                </c:pt>
                <c:pt idx="58">
                  <c:v>-1</c:v>
                </c:pt>
                <c:pt idx="59">
                  <c:v>-1</c:v>
                </c:pt>
                <c:pt idx="60">
                  <c:v>-1</c:v>
                </c:pt>
                <c:pt idx="61">
                  <c:v>-1</c:v>
                </c:pt>
                <c:pt idx="62">
                  <c:v>-1</c:v>
                </c:pt>
                <c:pt idx="63">
                  <c:v>-1</c:v>
                </c:pt>
                <c:pt idx="64">
                  <c:v>-1</c:v>
                </c:pt>
                <c:pt idx="65">
                  <c:v>-1</c:v>
                </c:pt>
                <c:pt idx="66">
                  <c:v>-1</c:v>
                </c:pt>
                <c:pt idx="67">
                  <c:v>-1</c:v>
                </c:pt>
                <c:pt idx="68">
                  <c:v>-0.99595614633650154</c:v>
                </c:pt>
                <c:pt idx="69">
                  <c:v>-0.97505978949075967</c:v>
                </c:pt>
                <c:pt idx="70">
                  <c:v>-0.95416343264501469</c:v>
                </c:pt>
                <c:pt idx="71">
                  <c:v>-0.93326707579927293</c:v>
                </c:pt>
                <c:pt idx="72">
                  <c:v>-0.91237071895352784</c:v>
                </c:pt>
                <c:pt idx="73">
                  <c:v>-0.89147436210778608</c:v>
                </c:pt>
                <c:pt idx="74">
                  <c:v>-0.87057800526204432</c:v>
                </c:pt>
                <c:pt idx="75">
                  <c:v>-0.84968164841630256</c:v>
                </c:pt>
                <c:pt idx="76">
                  <c:v>-0.82878529157055747</c:v>
                </c:pt>
                <c:pt idx="77">
                  <c:v>-0.80788893472481571</c:v>
                </c:pt>
                <c:pt idx="78">
                  <c:v>-0.78699257787907073</c:v>
                </c:pt>
                <c:pt idx="79">
                  <c:v>-0.76609622103332886</c:v>
                </c:pt>
                <c:pt idx="80">
                  <c:v>-0.7451998641875871</c:v>
                </c:pt>
                <c:pt idx="81">
                  <c:v>-0.72430350734184212</c:v>
                </c:pt>
                <c:pt idx="82">
                  <c:v>-0.70340715049610036</c:v>
                </c:pt>
                <c:pt idx="83">
                  <c:v>-0.68251079365035849</c:v>
                </c:pt>
                <c:pt idx="84">
                  <c:v>-0.66161443680461351</c:v>
                </c:pt>
                <c:pt idx="85">
                  <c:v>-0.64071807995887176</c:v>
                </c:pt>
                <c:pt idx="86">
                  <c:v>-0.61982172311313</c:v>
                </c:pt>
                <c:pt idx="87">
                  <c:v>-0.59892536626738491</c:v>
                </c:pt>
                <c:pt idx="88">
                  <c:v>-0.57802900942164304</c:v>
                </c:pt>
                <c:pt idx="89">
                  <c:v>-0.55713265257590128</c:v>
                </c:pt>
                <c:pt idx="90">
                  <c:v>-0.5362362957301563</c:v>
                </c:pt>
                <c:pt idx="91">
                  <c:v>-0.51533993888441454</c:v>
                </c:pt>
                <c:pt idx="92">
                  <c:v>-0.49444358203867272</c:v>
                </c:pt>
                <c:pt idx="93">
                  <c:v>-0.47354722519292769</c:v>
                </c:pt>
                <c:pt idx="94">
                  <c:v>-0.45265086834718588</c:v>
                </c:pt>
                <c:pt idx="95">
                  <c:v>-0.43175451150144412</c:v>
                </c:pt>
                <c:pt idx="96">
                  <c:v>-0.41085815465569908</c:v>
                </c:pt>
                <c:pt idx="97">
                  <c:v>-0.38996179780995732</c:v>
                </c:pt>
                <c:pt idx="98">
                  <c:v>-0.36906544096421551</c:v>
                </c:pt>
                <c:pt idx="99">
                  <c:v>-0.34816908411847053</c:v>
                </c:pt>
                <c:pt idx="100">
                  <c:v>-0.32727272727272871</c:v>
                </c:pt>
                <c:pt idx="101">
                  <c:v>-0.30637637042698695</c:v>
                </c:pt>
                <c:pt idx="102">
                  <c:v>-0.28548001358124192</c:v>
                </c:pt>
                <c:pt idx="103">
                  <c:v>-0.26458365673550011</c:v>
                </c:pt>
                <c:pt idx="104">
                  <c:v>-0.24368729988975835</c:v>
                </c:pt>
                <c:pt idx="105">
                  <c:v>-0.22279094304401331</c:v>
                </c:pt>
                <c:pt idx="106">
                  <c:v>-0.20189458619827153</c:v>
                </c:pt>
                <c:pt idx="107">
                  <c:v>-0.18099822935252974</c:v>
                </c:pt>
                <c:pt idx="108">
                  <c:v>-0.16010187250678473</c:v>
                </c:pt>
                <c:pt idx="109">
                  <c:v>-0.13920551566104297</c:v>
                </c:pt>
                <c:pt idx="110">
                  <c:v>-0.11830915881530117</c:v>
                </c:pt>
                <c:pt idx="111">
                  <c:v>-9.7412801969556165E-2</c:v>
                </c:pt>
                <c:pt idx="112">
                  <c:v>-7.6516445123814378E-2</c:v>
                </c:pt>
                <c:pt idx="113">
                  <c:v>-5.5620088278072584E-2</c:v>
                </c:pt>
                <c:pt idx="114">
                  <c:v>-3.472373143232757E-2</c:v>
                </c:pt>
                <c:pt idx="115">
                  <c:v>-1.3827374586585782E-2</c:v>
                </c:pt>
                <c:pt idx="116">
                  <c:v>7.0689822591560054E-3</c:v>
                </c:pt>
                <c:pt idx="117">
                  <c:v>2.7965339104901021E-2</c:v>
                </c:pt>
                <c:pt idx="118">
                  <c:v>4.8861695950642811E-2</c:v>
                </c:pt>
                <c:pt idx="119">
                  <c:v>6.9758052796384598E-2</c:v>
                </c:pt>
                <c:pt idx="120">
                  <c:v>9.0654409642129619E-2</c:v>
                </c:pt>
                <c:pt idx="121">
                  <c:v>0.11155076648787141</c:v>
                </c:pt>
                <c:pt idx="122">
                  <c:v>0.13244712333361319</c:v>
                </c:pt>
                <c:pt idx="123">
                  <c:v>0.15334348017935823</c:v>
                </c:pt>
                <c:pt idx="124">
                  <c:v>0.17423983702510001</c:v>
                </c:pt>
                <c:pt idx="125">
                  <c:v>0.19513619387084502</c:v>
                </c:pt>
                <c:pt idx="126">
                  <c:v>0.21603255071658681</c:v>
                </c:pt>
                <c:pt idx="127">
                  <c:v>0.23692890756232859</c:v>
                </c:pt>
                <c:pt idx="128">
                  <c:v>0.25782526440807041</c:v>
                </c:pt>
                <c:pt idx="129">
                  <c:v>0.27872162125381539</c:v>
                </c:pt>
                <c:pt idx="130">
                  <c:v>0.2996179780995572</c:v>
                </c:pt>
                <c:pt idx="131">
                  <c:v>0.32051433494530218</c:v>
                </c:pt>
                <c:pt idx="132">
                  <c:v>0.341410691791044</c:v>
                </c:pt>
                <c:pt idx="133">
                  <c:v>0.36230704863678576</c:v>
                </c:pt>
                <c:pt idx="134">
                  <c:v>0.38320340548253079</c:v>
                </c:pt>
                <c:pt idx="135">
                  <c:v>0.4040997623282726</c:v>
                </c:pt>
                <c:pt idx="136">
                  <c:v>0.42499611917401436</c:v>
                </c:pt>
                <c:pt idx="137">
                  <c:v>0.4458924760197594</c:v>
                </c:pt>
                <c:pt idx="138">
                  <c:v>0.46678883286550116</c:v>
                </c:pt>
                <c:pt idx="139">
                  <c:v>0.48768518971124297</c:v>
                </c:pt>
                <c:pt idx="140">
                  <c:v>0.50858154655698795</c:v>
                </c:pt>
                <c:pt idx="141">
                  <c:v>0.52947790340272971</c:v>
                </c:pt>
                <c:pt idx="142">
                  <c:v>0.55037426024847158</c:v>
                </c:pt>
                <c:pt idx="143">
                  <c:v>0.57127061709421656</c:v>
                </c:pt>
                <c:pt idx="144">
                  <c:v>0.59216697393995832</c:v>
                </c:pt>
                <c:pt idx="145">
                  <c:v>0.61306333078570008</c:v>
                </c:pt>
                <c:pt idx="146">
                  <c:v>0.63395968763144506</c:v>
                </c:pt>
                <c:pt idx="147">
                  <c:v>0.65485604447718693</c:v>
                </c:pt>
                <c:pt idx="148">
                  <c:v>0.67575240132292869</c:v>
                </c:pt>
                <c:pt idx="149">
                  <c:v>0.69664875816867367</c:v>
                </c:pt>
                <c:pt idx="150">
                  <c:v>0.71754511501441542</c:v>
                </c:pt>
                <c:pt idx="151">
                  <c:v>0.73844147186015729</c:v>
                </c:pt>
                <c:pt idx="152">
                  <c:v>0.75933782870590227</c:v>
                </c:pt>
                <c:pt idx="153">
                  <c:v>0.78023418555164403</c:v>
                </c:pt>
                <c:pt idx="154">
                  <c:v>0.80113054239738579</c:v>
                </c:pt>
                <c:pt idx="155">
                  <c:v>0.82202689924313088</c:v>
                </c:pt>
                <c:pt idx="156">
                  <c:v>0.84292325608887264</c:v>
                </c:pt>
                <c:pt idx="157">
                  <c:v>0.8638196129346144</c:v>
                </c:pt>
                <c:pt idx="158">
                  <c:v>0.88471596978035949</c:v>
                </c:pt>
                <c:pt idx="159">
                  <c:v>0.90561232662610125</c:v>
                </c:pt>
                <c:pt idx="160">
                  <c:v>0.92650868347184301</c:v>
                </c:pt>
                <c:pt idx="161">
                  <c:v>0.94740504031758799</c:v>
                </c:pt>
                <c:pt idx="162">
                  <c:v>0.96830139716332986</c:v>
                </c:pt>
                <c:pt idx="163">
                  <c:v>0.98919775400907162</c:v>
                </c:pt>
                <c:pt idx="164">
                  <c:v>1.0100941108548167</c:v>
                </c:pt>
                <c:pt idx="165">
                  <c:v>1.0309904677005584</c:v>
                </c:pt>
                <c:pt idx="166">
                  <c:v>1.0518868245463002</c:v>
                </c:pt>
                <c:pt idx="167">
                  <c:v>1.0727831813920452</c:v>
                </c:pt>
                <c:pt idx="168">
                  <c:v>1.0936795382377871</c:v>
                </c:pt>
                <c:pt idx="169">
                  <c:v>1.1145758950835287</c:v>
                </c:pt>
                <c:pt idx="170">
                  <c:v>1.1354722519292737</c:v>
                </c:pt>
                <c:pt idx="171">
                  <c:v>1.1563686087750156</c:v>
                </c:pt>
                <c:pt idx="172">
                  <c:v>1.1772649656207608</c:v>
                </c:pt>
                <c:pt idx="173">
                  <c:v>1.1981613224665024</c:v>
                </c:pt>
                <c:pt idx="174">
                  <c:v>1.2190576793122443</c:v>
                </c:pt>
                <c:pt idx="175">
                  <c:v>1.2399540361579862</c:v>
                </c:pt>
                <c:pt idx="176">
                  <c:v>1.2608503930037309</c:v>
                </c:pt>
                <c:pt idx="177">
                  <c:v>1.2817467498494728</c:v>
                </c:pt>
                <c:pt idx="178">
                  <c:v>1.302643106695218</c:v>
                </c:pt>
                <c:pt idx="179">
                  <c:v>1.3235394635409596</c:v>
                </c:pt>
                <c:pt idx="180">
                  <c:v>1.3444358203867015</c:v>
                </c:pt>
                <c:pt idx="181">
                  <c:v>1.3653321772324434</c:v>
                </c:pt>
                <c:pt idx="182">
                  <c:v>1.3862285340781881</c:v>
                </c:pt>
                <c:pt idx="183">
                  <c:v>1.40712489092393</c:v>
                </c:pt>
                <c:pt idx="184">
                  <c:v>1.4280212477696752</c:v>
                </c:pt>
                <c:pt idx="185">
                  <c:v>1.4489176046154169</c:v>
                </c:pt>
                <c:pt idx="186">
                  <c:v>1.4698139614611587</c:v>
                </c:pt>
                <c:pt idx="187">
                  <c:v>1.4907103183069035</c:v>
                </c:pt>
                <c:pt idx="188">
                  <c:v>1.5116066751526454</c:v>
                </c:pt>
                <c:pt idx="189">
                  <c:v>1.5325030319983872</c:v>
                </c:pt>
                <c:pt idx="190">
                  <c:v>1.5533993888441322</c:v>
                </c:pt>
                <c:pt idx="191">
                  <c:v>1.5742957456898741</c:v>
                </c:pt>
                <c:pt idx="192">
                  <c:v>1.5951921025356159</c:v>
                </c:pt>
                <c:pt idx="193">
                  <c:v>1.6160884593813607</c:v>
                </c:pt>
                <c:pt idx="194">
                  <c:v>1.6369848162271026</c:v>
                </c:pt>
                <c:pt idx="195">
                  <c:v>1.6578811730728442</c:v>
                </c:pt>
                <c:pt idx="196">
                  <c:v>1.6787775299185894</c:v>
                </c:pt>
                <c:pt idx="197">
                  <c:v>1.6996738867643313</c:v>
                </c:pt>
                <c:pt idx="198">
                  <c:v>1.7205702436100729</c:v>
                </c:pt>
                <c:pt idx="199">
                  <c:v>1.7414666004558179</c:v>
                </c:pt>
                <c:pt idx="200">
                  <c:v>1.7623629573015598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75-40F8-954C-F04F2E14AC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486495"/>
        <c:axId val="129481503"/>
      </c:scatterChart>
      <c:valAx>
        <c:axId val="1331917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Spot ($)</a:t>
                </a:r>
              </a:p>
            </c:rich>
          </c:tx>
          <c:layout>
            <c:manualLayout>
              <c:xMode val="edge"/>
              <c:yMode val="edge"/>
              <c:x val="0.45868761847477391"/>
              <c:y val="0.75750227436709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1918368"/>
        <c:crosses val="autoZero"/>
        <c:crossBetween val="midCat"/>
      </c:valAx>
      <c:valAx>
        <c:axId val="133191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Utility ($)</a:t>
                </a:r>
                <a:endParaRPr lang="es-MX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31917952"/>
        <c:crosses val="autoZero"/>
        <c:crossBetween val="midCat"/>
      </c:valAx>
      <c:valAx>
        <c:axId val="129481503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HPR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9486495"/>
        <c:crosses val="max"/>
        <c:crossBetween val="midCat"/>
      </c:valAx>
      <c:valAx>
        <c:axId val="129486495"/>
        <c:scaling>
          <c:orientation val="minMax"/>
        </c:scaling>
        <c:delete val="1"/>
        <c:axPos val="b"/>
        <c:numFmt formatCode="_(* #,##0.00_);_(* \(#,##0.00\);_(* &quot;-&quot;??_);_(@_)" sourceLinked="1"/>
        <c:majorTickMark val="out"/>
        <c:minorTickMark val="none"/>
        <c:tickLblPos val="nextTo"/>
        <c:crossAx val="1294815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65034448818896"/>
          <c:y val="4.6963045548509996E-2"/>
          <c:w val="0.75818745313085867"/>
          <c:h val="0.60596764453115926"/>
        </c:manualLayout>
      </c:layout>
      <c:scatterChart>
        <c:scatterStyle val="smoothMarker"/>
        <c:varyColors val="0"/>
        <c:ser>
          <c:idx val="0"/>
          <c:order val="0"/>
          <c:tx>
            <c:v>Price vs. ytm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OptionsPlots!$I$2:$I$102</c:f>
              <c:numCache>
                <c:formatCode>_(* #,##0.000_);_(* \(#,##0.000\);_(* "-"??_);_(@_)</c:formatCode>
                <c:ptCount val="101"/>
                <c:pt idx="0">
                  <c:v>-4.592803879714911E-10</c:v>
                </c:pt>
                <c:pt idx="1">
                  <c:v>2.7008920765111391E-4</c:v>
                </c:pt>
                <c:pt idx="2">
                  <c:v>5.4017887458261585E-4</c:v>
                </c:pt>
                <c:pt idx="3">
                  <c:v>8.1026854151411778E-4</c:v>
                </c:pt>
                <c:pt idx="4">
                  <c:v>1.0803582084456197E-3</c:v>
                </c:pt>
                <c:pt idx="5">
                  <c:v>1.3504478753771215E-3</c:v>
                </c:pt>
                <c:pt idx="6">
                  <c:v>1.6205375423086234E-3</c:v>
                </c:pt>
                <c:pt idx="7">
                  <c:v>1.8906272092401254E-3</c:v>
                </c:pt>
                <c:pt idx="8">
                  <c:v>2.160716876171627E-3</c:v>
                </c:pt>
                <c:pt idx="9">
                  <c:v>2.4308065431031291E-3</c:v>
                </c:pt>
                <c:pt idx="10">
                  <c:v>2.7008962100346311E-3</c:v>
                </c:pt>
                <c:pt idx="11">
                  <c:v>2.9709858769661327E-3</c:v>
                </c:pt>
                <c:pt idx="12">
                  <c:v>3.2410755438976348E-3</c:v>
                </c:pt>
                <c:pt idx="13">
                  <c:v>3.5111652108291368E-3</c:v>
                </c:pt>
                <c:pt idx="14">
                  <c:v>3.7812548777606384E-3</c:v>
                </c:pt>
                <c:pt idx="15">
                  <c:v>4.0513445446921405E-3</c:v>
                </c:pt>
                <c:pt idx="16">
                  <c:v>4.3214342116236421E-3</c:v>
                </c:pt>
                <c:pt idx="17">
                  <c:v>4.5915238785551446E-3</c:v>
                </c:pt>
                <c:pt idx="18">
                  <c:v>4.8616135454866462E-3</c:v>
                </c:pt>
                <c:pt idx="19">
                  <c:v>5.1317032124181478E-3</c:v>
                </c:pt>
                <c:pt idx="20">
                  <c:v>5.4017928793496503E-3</c:v>
                </c:pt>
                <c:pt idx="21">
                  <c:v>5.6718825462811519E-3</c:v>
                </c:pt>
                <c:pt idx="22">
                  <c:v>5.9419722132126535E-3</c:v>
                </c:pt>
                <c:pt idx="23">
                  <c:v>6.212061880144156E-3</c:v>
                </c:pt>
                <c:pt idx="24">
                  <c:v>6.4821515470756576E-3</c:v>
                </c:pt>
                <c:pt idx="25">
                  <c:v>6.7522412140071592E-3</c:v>
                </c:pt>
                <c:pt idx="26">
                  <c:v>7.0223308809386617E-3</c:v>
                </c:pt>
                <c:pt idx="27">
                  <c:v>7.2924205478701633E-3</c:v>
                </c:pt>
                <c:pt idx="28">
                  <c:v>7.5625102148016649E-3</c:v>
                </c:pt>
                <c:pt idx="29">
                  <c:v>7.8325998817331665E-3</c:v>
                </c:pt>
                <c:pt idx="30">
                  <c:v>8.102689548664669E-3</c:v>
                </c:pt>
                <c:pt idx="31">
                  <c:v>8.3727792155961715E-3</c:v>
                </c:pt>
                <c:pt idx="32">
                  <c:v>8.6428688825276722E-3</c:v>
                </c:pt>
                <c:pt idx="33">
                  <c:v>8.9129585494591747E-3</c:v>
                </c:pt>
                <c:pt idx="34">
                  <c:v>9.1830482163906772E-3</c:v>
                </c:pt>
                <c:pt idx="35">
                  <c:v>9.4531378833221779E-3</c:v>
                </c:pt>
                <c:pt idx="36">
                  <c:v>9.7232275502536804E-3</c:v>
                </c:pt>
                <c:pt idx="37">
                  <c:v>9.9933172171851829E-3</c:v>
                </c:pt>
                <c:pt idx="38">
                  <c:v>1.0263406884116684E-2</c:v>
                </c:pt>
                <c:pt idx="39">
                  <c:v>1.0533496551048186E-2</c:v>
                </c:pt>
                <c:pt idx="40">
                  <c:v>1.0803586217979689E-2</c:v>
                </c:pt>
                <c:pt idx="41">
                  <c:v>1.1073675884911189E-2</c:v>
                </c:pt>
                <c:pt idx="42">
                  <c:v>1.1343765551842692E-2</c:v>
                </c:pt>
                <c:pt idx="43">
                  <c:v>1.1613855218774194E-2</c:v>
                </c:pt>
                <c:pt idx="44">
                  <c:v>1.1883944885705695E-2</c:v>
                </c:pt>
                <c:pt idx="45">
                  <c:v>1.2154034552637197E-2</c:v>
                </c:pt>
                <c:pt idx="46">
                  <c:v>1.24241242195687E-2</c:v>
                </c:pt>
                <c:pt idx="47">
                  <c:v>1.2694213886500201E-2</c:v>
                </c:pt>
                <c:pt idx="48">
                  <c:v>1.2964303553431703E-2</c:v>
                </c:pt>
                <c:pt idx="49">
                  <c:v>1.3234393220363206E-2</c:v>
                </c:pt>
                <c:pt idx="50">
                  <c:v>1.3504482887294706E-2</c:v>
                </c:pt>
                <c:pt idx="51">
                  <c:v>1.3774572554226209E-2</c:v>
                </c:pt>
                <c:pt idx="52">
                  <c:v>1.4044662221157711E-2</c:v>
                </c:pt>
                <c:pt idx="53">
                  <c:v>1.4314751888089212E-2</c:v>
                </c:pt>
                <c:pt idx="54">
                  <c:v>1.4584841555020715E-2</c:v>
                </c:pt>
                <c:pt idx="55">
                  <c:v>1.4854931221952217E-2</c:v>
                </c:pt>
                <c:pt idx="56">
                  <c:v>1.5125020888883718E-2</c:v>
                </c:pt>
                <c:pt idx="57">
                  <c:v>1.539511055581522E-2</c:v>
                </c:pt>
                <c:pt idx="58">
                  <c:v>1.5665200222746721E-2</c:v>
                </c:pt>
                <c:pt idx="59">
                  <c:v>1.5935289889678225E-2</c:v>
                </c:pt>
                <c:pt idx="60">
                  <c:v>1.6205379556609726E-2</c:v>
                </c:pt>
                <c:pt idx="61">
                  <c:v>1.6475469223541227E-2</c:v>
                </c:pt>
                <c:pt idx="62">
                  <c:v>1.6745558890472731E-2</c:v>
                </c:pt>
                <c:pt idx="63">
                  <c:v>1.7015648557404232E-2</c:v>
                </c:pt>
                <c:pt idx="64">
                  <c:v>1.7285738224335732E-2</c:v>
                </c:pt>
                <c:pt idx="65">
                  <c:v>1.7555827891267237E-2</c:v>
                </c:pt>
                <c:pt idx="66">
                  <c:v>1.7825917558198737E-2</c:v>
                </c:pt>
                <c:pt idx="67">
                  <c:v>1.8096007225130238E-2</c:v>
                </c:pt>
                <c:pt idx="68">
                  <c:v>1.8366096892061742E-2</c:v>
                </c:pt>
                <c:pt idx="69">
                  <c:v>1.8636186558993243E-2</c:v>
                </c:pt>
                <c:pt idx="70">
                  <c:v>1.8906276225924744E-2</c:v>
                </c:pt>
                <c:pt idx="71">
                  <c:v>1.9176365892856248E-2</c:v>
                </c:pt>
                <c:pt idx="72">
                  <c:v>1.9446455559787749E-2</c:v>
                </c:pt>
                <c:pt idx="73">
                  <c:v>1.971654522671925E-2</c:v>
                </c:pt>
                <c:pt idx="74">
                  <c:v>1.9986634893650754E-2</c:v>
                </c:pt>
                <c:pt idx="75">
                  <c:v>2.0256724560582254E-2</c:v>
                </c:pt>
                <c:pt idx="76">
                  <c:v>2.0526814227513755E-2</c:v>
                </c:pt>
                <c:pt idx="77">
                  <c:v>2.0796903894445259E-2</c:v>
                </c:pt>
                <c:pt idx="78">
                  <c:v>2.106699356137676E-2</c:v>
                </c:pt>
                <c:pt idx="79">
                  <c:v>2.1337083228308261E-2</c:v>
                </c:pt>
                <c:pt idx="80">
                  <c:v>2.1607172895239765E-2</c:v>
                </c:pt>
                <c:pt idx="81">
                  <c:v>2.1877262562171266E-2</c:v>
                </c:pt>
                <c:pt idx="82">
                  <c:v>2.2147352229102767E-2</c:v>
                </c:pt>
                <c:pt idx="83">
                  <c:v>2.2417441896034271E-2</c:v>
                </c:pt>
                <c:pt idx="84">
                  <c:v>2.2687531562965772E-2</c:v>
                </c:pt>
                <c:pt idx="85">
                  <c:v>2.2957621229897272E-2</c:v>
                </c:pt>
                <c:pt idx="86">
                  <c:v>2.3227710896828777E-2</c:v>
                </c:pt>
                <c:pt idx="87">
                  <c:v>2.3497800563760277E-2</c:v>
                </c:pt>
                <c:pt idx="88">
                  <c:v>2.3767890230691778E-2</c:v>
                </c:pt>
                <c:pt idx="89">
                  <c:v>2.4037979897623282E-2</c:v>
                </c:pt>
                <c:pt idx="90">
                  <c:v>2.4308069564554783E-2</c:v>
                </c:pt>
                <c:pt idx="91">
                  <c:v>2.4578159231486284E-2</c:v>
                </c:pt>
                <c:pt idx="92">
                  <c:v>2.4848248898417788E-2</c:v>
                </c:pt>
                <c:pt idx="93">
                  <c:v>2.5118338565349289E-2</c:v>
                </c:pt>
                <c:pt idx="94">
                  <c:v>2.5388428232280789E-2</c:v>
                </c:pt>
                <c:pt idx="95">
                  <c:v>2.5658517899212294E-2</c:v>
                </c:pt>
                <c:pt idx="96">
                  <c:v>2.5928607566143794E-2</c:v>
                </c:pt>
                <c:pt idx="97">
                  <c:v>2.6198697233075295E-2</c:v>
                </c:pt>
                <c:pt idx="98">
                  <c:v>2.6468786900006799E-2</c:v>
                </c:pt>
                <c:pt idx="99">
                  <c:v>2.67388765669383E-2</c:v>
                </c:pt>
                <c:pt idx="100">
                  <c:v>2.7008966233869801E-2</c:v>
                </c:pt>
              </c:numCache>
            </c:numRef>
          </c:xVal>
          <c:yVal>
            <c:numRef>
              <c:f>OptionsPlots!$J$2:$J$102</c:f>
              <c:numCache>
                <c:formatCode>_("$"* #,##0.0_);_("$"* \(#,##0.0\);_("$"* "-"??_);_(@_)</c:formatCode>
                <c:ptCount val="101"/>
                <c:pt idx="0">
                  <c:v>37.206013395797285</c:v>
                </c:pt>
                <c:pt idx="1">
                  <c:v>37.311408246628481</c:v>
                </c:pt>
                <c:pt idx="2">
                  <c:v>37.425953192208674</c:v>
                </c:pt>
                <c:pt idx="3">
                  <c:v>37.548069103929734</c:v>
                </c:pt>
                <c:pt idx="4">
                  <c:v>37.676435741654544</c:v>
                </c:pt>
                <c:pt idx="5">
                  <c:v>37.809951522469845</c:v>
                </c:pt>
                <c:pt idx="6">
                  <c:v>37.947696973656697</c:v>
                </c:pt>
                <c:pt idx="7">
                  <c:v>38.088903332547673</c:v>
                </c:pt>
                <c:pt idx="8">
                  <c:v>38.232926301640262</c:v>
                </c:pt>
                <c:pt idx="9">
                  <c:v>38.379224416408114</c:v>
                </c:pt>
                <c:pt idx="10">
                  <c:v>38.527341332781333</c:v>
                </c:pt>
                <c:pt idx="11">
                  <c:v>38.676891358950108</c:v>
                </c:pt>
                <c:pt idx="12">
                  <c:v>38.827547635903521</c:v>
                </c:pt>
                <c:pt idx="13">
                  <c:v>38.979032465807443</c:v>
                </c:pt>
                <c:pt idx="14">
                  <c:v>39.131109377323284</c:v>
                </c:pt>
                <c:pt idx="15">
                  <c:v>39.283576595268933</c:v>
                </c:pt>
                <c:pt idx="16">
                  <c:v>39.436261647249488</c:v>
                </c:pt>
                <c:pt idx="17">
                  <c:v>39.58901689295066</c:v>
                </c:pt>
                <c:pt idx="18">
                  <c:v>39.741715804403931</c:v>
                </c:pt>
                <c:pt idx="19">
                  <c:v>39.894249859545091</c:v>
                </c:pt>
                <c:pt idx="20">
                  <c:v>40.046525938413701</c:v>
                </c:pt>
                <c:pt idx="21">
                  <c:v>40.198464132829564</c:v>
                </c:pt>
                <c:pt idx="22">
                  <c:v>40.349995897474408</c:v>
                </c:pt>
                <c:pt idx="23">
                  <c:v>40.50106248390783</c:v>
                </c:pt>
                <c:pt idx="24">
                  <c:v>40.651613609925718</c:v>
                </c:pt>
                <c:pt idx="25">
                  <c:v>40.801606325381286</c:v>
                </c:pt>
                <c:pt idx="26">
                  <c:v>40.951004042571498</c:v>
                </c:pt>
                <c:pt idx="27">
                  <c:v>41.099775704962632</c:v>
                </c:pt>
                <c:pt idx="28">
                  <c:v>41.2478950725624</c:v>
                </c:pt>
                <c:pt idx="29">
                  <c:v>41.39534010598819</c:v>
                </c:pt>
                <c:pt idx="30">
                  <c:v>41.542092434279795</c:v>
                </c:pt>
                <c:pt idx="31">
                  <c:v>41.688136893987746</c:v>
                </c:pt>
                <c:pt idx="32">
                  <c:v>41.833461129100016</c:v>
                </c:pt>
                <c:pt idx="33">
                  <c:v>41.978055243035662</c:v>
                </c:pt>
                <c:pt idx="34">
                  <c:v>42.121911495318415</c:v>
                </c:pt>
                <c:pt idx="35">
                  <c:v>42.265024036686476</c:v>
                </c:pt>
                <c:pt idx="36">
                  <c:v>42.407388677352657</c:v>
                </c:pt>
                <c:pt idx="37">
                  <c:v>42.549002683914097</c:v>
                </c:pt>
                <c:pt idx="38">
                  <c:v>42.689864601087656</c:v>
                </c:pt>
                <c:pt idx="39">
                  <c:v>42.829974094995016</c:v>
                </c:pt>
                <c:pt idx="40">
                  <c:v>42.969331815197513</c:v>
                </c:pt>
                <c:pt idx="41">
                  <c:v>43.107939273074315</c:v>
                </c:pt>
                <c:pt idx="42">
                  <c:v>43.245798734477432</c:v>
                </c:pt>
                <c:pt idx="43">
                  <c:v>43.382913124873326</c:v>
                </c:pt>
                <c:pt idx="44">
                  <c:v>43.519285945435335</c:v>
                </c:pt>
                <c:pt idx="45">
                  <c:v>43.654921198744916</c:v>
                </c:pt>
                <c:pt idx="46">
                  <c:v>43.789823322946006</c:v>
                </c:pt>
                <c:pt idx="47">
                  <c:v>43.923997133343619</c:v>
                </c:pt>
                <c:pt idx="48">
                  <c:v>44.057447770567073</c:v>
                </c:pt>
                <c:pt idx="49">
                  <c:v>44.190180654534224</c:v>
                </c:pt>
                <c:pt idx="50">
                  <c:v>44.322201443542461</c:v>
                </c:pt>
                <c:pt idx="51">
                  <c:v>44.453515997903587</c:v>
                </c:pt>
                <c:pt idx="52">
                  <c:v>44.584130347606212</c:v>
                </c:pt>
                <c:pt idx="53">
                  <c:v>44.714050663551127</c:v>
                </c:pt>
                <c:pt idx="54">
                  <c:v>44.843283231966574</c:v>
                </c:pt>
                <c:pt idx="55">
                  <c:v>44.971834431646421</c:v>
                </c:pt>
                <c:pt idx="56">
                  <c:v>45.099710713708042</c:v>
                </c:pt>
                <c:pt idx="57">
                  <c:v>45.226918583591029</c:v>
                </c:pt>
                <c:pt idx="58">
                  <c:v>45.353464585057715</c:v>
                </c:pt>
                <c:pt idx="59">
                  <c:v>45.47935528598034</c:v>
                </c:pt>
                <c:pt idx="60">
                  <c:v>45.604597265724564</c:v>
                </c:pt>
                <c:pt idx="61">
                  <c:v>45.729197103958874</c:v>
                </c:pt>
                <c:pt idx="62">
                  <c:v>45.853161370742157</c:v>
                </c:pt>
                <c:pt idx="63">
                  <c:v>45.97649661775538</c:v>
                </c:pt>
                <c:pt idx="64">
                  <c:v>46.099209370554206</c:v>
                </c:pt>
                <c:pt idx="65">
                  <c:v>46.221306121742792</c:v>
                </c:pt>
                <c:pt idx="66">
                  <c:v>46.342793324968255</c:v>
                </c:pt>
                <c:pt idx="67">
                  <c:v>46.46367738965278</c:v>
                </c:pt>
                <c:pt idx="68">
                  <c:v>46.583964676389357</c:v>
                </c:pt>
                <c:pt idx="69">
                  <c:v>46.703661492930863</c:v>
                </c:pt>
                <c:pt idx="70">
                  <c:v>46.822774090711299</c:v>
                </c:pt>
                <c:pt idx="71">
                  <c:v>46.941308661847501</c:v>
                </c:pt>
                <c:pt idx="72">
                  <c:v>47.059271336568713</c:v>
                </c:pt>
                <c:pt idx="73">
                  <c:v>47.17666818103298</c:v>
                </c:pt>
                <c:pt idx="74">
                  <c:v>47.2935051954898</c:v>
                </c:pt>
                <c:pt idx="75">
                  <c:v>47.409788312751324</c:v>
                </c:pt>
                <c:pt idx="76">
                  <c:v>47.525523396944571</c:v>
                </c:pt>
                <c:pt idx="77">
                  <c:v>47.640716242512667</c:v>
                </c:pt>
                <c:pt idx="78">
                  <c:v>47.755372573437782</c:v>
                </c:pt>
                <c:pt idx="79">
                  <c:v>47.869498042669122</c:v>
                </c:pt>
                <c:pt idx="80">
                  <c:v>47.983098231724107</c:v>
                </c:pt>
                <c:pt idx="81">
                  <c:v>48.096178650457006</c:v>
                </c:pt>
                <c:pt idx="82">
                  <c:v>48.208744736963773</c:v>
                </c:pt>
                <c:pt idx="83">
                  <c:v>48.320801857619649</c:v>
                </c:pt>
                <c:pt idx="84">
                  <c:v>48.432355307228853</c:v>
                </c:pt>
                <c:pt idx="85">
                  <c:v>48.543410309274947</c:v>
                </c:pt>
                <c:pt idx="86">
                  <c:v>48.653972016261363</c:v>
                </c:pt>
                <c:pt idx="87">
                  <c:v>48.764045510131446</c:v>
                </c:pt>
                <c:pt idx="88">
                  <c:v>48.873635802759289</c:v>
                </c:pt>
                <c:pt idx="89">
                  <c:v>48.982747836500771</c:v>
                </c:pt>
                <c:pt idx="90">
                  <c:v>49.091386484800005</c:v>
                </c:pt>
                <c:pt idx="91">
                  <c:v>49.199556552843525</c:v>
                </c:pt>
                <c:pt idx="92">
                  <c:v>49.307262778253374</c:v>
                </c:pt>
                <c:pt idx="93">
                  <c:v>49.414509831817682</c:v>
                </c:pt>
                <c:pt idx="94">
                  <c:v>49.52130231825226</c:v>
                </c:pt>
                <c:pt idx="95">
                  <c:v>49.627644776985079</c:v>
                </c:pt>
                <c:pt idx="96">
                  <c:v>49.733541682965985</c:v>
                </c:pt>
                <c:pt idx="97">
                  <c:v>49.838997447491948</c:v>
                </c:pt>
                <c:pt idx="98">
                  <c:v>49.94401641904804</c:v>
                </c:pt>
                <c:pt idx="99">
                  <c:v>50.048602884160864</c:v>
                </c:pt>
                <c:pt idx="100">
                  <c:v>50.152761068259203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18-483F-8D1B-0107B4B8A81B}"/>
            </c:ext>
          </c:extLst>
        </c:ser>
        <c:ser>
          <c:idx val="1"/>
          <c:order val="1"/>
          <c:tx>
            <c:v>Actual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OptionsPlots!$K$2:$K$102</c:f>
              <c:numCache>
                <c:formatCode>_(* #,##0.000_);_(* \(#,##0.000\);_(* "-"??_);_(@_)</c:formatCode>
                <c:ptCount val="101"/>
                <c:pt idx="0">
                  <c:v>2.7008966233869801E-2</c:v>
                </c:pt>
                <c:pt idx="1">
                  <c:v>2.7008966233869801E-2</c:v>
                </c:pt>
                <c:pt idx="2">
                  <c:v>2.7008966233869801E-2</c:v>
                </c:pt>
                <c:pt idx="3">
                  <c:v>2.7008966233869801E-2</c:v>
                </c:pt>
                <c:pt idx="4">
                  <c:v>2.7008966233869801E-2</c:v>
                </c:pt>
                <c:pt idx="5">
                  <c:v>2.7008966233869801E-2</c:v>
                </c:pt>
                <c:pt idx="6">
                  <c:v>2.7008966233869801E-2</c:v>
                </c:pt>
                <c:pt idx="7">
                  <c:v>2.7008966233869801E-2</c:v>
                </c:pt>
                <c:pt idx="8">
                  <c:v>2.7008966233869801E-2</c:v>
                </c:pt>
                <c:pt idx="9">
                  <c:v>2.7008966233869801E-2</c:v>
                </c:pt>
                <c:pt idx="10">
                  <c:v>2.7008966233869801E-2</c:v>
                </c:pt>
                <c:pt idx="11">
                  <c:v>2.7008966233869801E-2</c:v>
                </c:pt>
                <c:pt idx="12">
                  <c:v>2.7008966233869801E-2</c:v>
                </c:pt>
                <c:pt idx="13">
                  <c:v>2.7008966233869801E-2</c:v>
                </c:pt>
                <c:pt idx="14">
                  <c:v>2.7008966233869801E-2</c:v>
                </c:pt>
                <c:pt idx="15">
                  <c:v>2.7008966233869801E-2</c:v>
                </c:pt>
                <c:pt idx="16">
                  <c:v>2.7008966233869801E-2</c:v>
                </c:pt>
                <c:pt idx="17">
                  <c:v>2.7008966233869801E-2</c:v>
                </c:pt>
                <c:pt idx="18">
                  <c:v>2.7008966233869801E-2</c:v>
                </c:pt>
                <c:pt idx="19">
                  <c:v>2.7008966233869801E-2</c:v>
                </c:pt>
                <c:pt idx="20">
                  <c:v>2.7008966233869801E-2</c:v>
                </c:pt>
                <c:pt idx="21">
                  <c:v>2.7008966233869801E-2</c:v>
                </c:pt>
                <c:pt idx="22">
                  <c:v>2.7008966233869801E-2</c:v>
                </c:pt>
                <c:pt idx="23">
                  <c:v>2.7008966233869801E-2</c:v>
                </c:pt>
                <c:pt idx="24">
                  <c:v>2.7008966233869801E-2</c:v>
                </c:pt>
                <c:pt idx="25">
                  <c:v>2.7008966233869801E-2</c:v>
                </c:pt>
                <c:pt idx="26">
                  <c:v>2.7008966233869801E-2</c:v>
                </c:pt>
                <c:pt idx="27">
                  <c:v>2.7008966233869801E-2</c:v>
                </c:pt>
                <c:pt idx="28">
                  <c:v>2.7008966233869801E-2</c:v>
                </c:pt>
                <c:pt idx="29">
                  <c:v>2.7008966233869801E-2</c:v>
                </c:pt>
                <c:pt idx="30">
                  <c:v>2.7008966233869801E-2</c:v>
                </c:pt>
                <c:pt idx="31">
                  <c:v>2.7008966233869801E-2</c:v>
                </c:pt>
                <c:pt idx="32">
                  <c:v>2.7008966233869801E-2</c:v>
                </c:pt>
                <c:pt idx="33">
                  <c:v>2.7008966233869801E-2</c:v>
                </c:pt>
                <c:pt idx="34">
                  <c:v>2.7008966233869801E-2</c:v>
                </c:pt>
                <c:pt idx="35">
                  <c:v>2.7008966233869801E-2</c:v>
                </c:pt>
                <c:pt idx="36">
                  <c:v>2.7008966233869801E-2</c:v>
                </c:pt>
                <c:pt idx="37">
                  <c:v>2.7008966233869801E-2</c:v>
                </c:pt>
                <c:pt idx="38">
                  <c:v>2.7008966233869801E-2</c:v>
                </c:pt>
                <c:pt idx="39">
                  <c:v>2.7008966233869801E-2</c:v>
                </c:pt>
                <c:pt idx="40">
                  <c:v>2.7008966233869801E-2</c:v>
                </c:pt>
                <c:pt idx="41">
                  <c:v>2.7008966233869801E-2</c:v>
                </c:pt>
                <c:pt idx="42">
                  <c:v>2.7008966233869801E-2</c:v>
                </c:pt>
                <c:pt idx="43">
                  <c:v>2.7008966233869801E-2</c:v>
                </c:pt>
                <c:pt idx="44">
                  <c:v>2.7008966233869801E-2</c:v>
                </c:pt>
                <c:pt idx="45">
                  <c:v>2.7008966233869801E-2</c:v>
                </c:pt>
                <c:pt idx="46">
                  <c:v>2.7008966233869801E-2</c:v>
                </c:pt>
                <c:pt idx="47">
                  <c:v>2.7008966233869801E-2</c:v>
                </c:pt>
                <c:pt idx="48">
                  <c:v>2.7008966233869801E-2</c:v>
                </c:pt>
                <c:pt idx="49">
                  <c:v>2.7008966233869801E-2</c:v>
                </c:pt>
                <c:pt idx="50">
                  <c:v>2.7008966233869801E-2</c:v>
                </c:pt>
                <c:pt idx="51">
                  <c:v>2.7008966233869801E-2</c:v>
                </c:pt>
                <c:pt idx="52">
                  <c:v>2.7008966233869801E-2</c:v>
                </c:pt>
                <c:pt idx="53">
                  <c:v>2.7008966233869801E-2</c:v>
                </c:pt>
                <c:pt idx="54">
                  <c:v>2.7008966233869801E-2</c:v>
                </c:pt>
                <c:pt idx="55">
                  <c:v>2.7008966233869801E-2</c:v>
                </c:pt>
                <c:pt idx="56">
                  <c:v>2.7008966233869801E-2</c:v>
                </c:pt>
                <c:pt idx="57">
                  <c:v>2.7008966233869801E-2</c:v>
                </c:pt>
                <c:pt idx="58">
                  <c:v>2.7008966233869801E-2</c:v>
                </c:pt>
                <c:pt idx="59">
                  <c:v>2.7008966233869801E-2</c:v>
                </c:pt>
                <c:pt idx="60">
                  <c:v>2.7008966233869801E-2</c:v>
                </c:pt>
                <c:pt idx="61">
                  <c:v>2.7008966233869801E-2</c:v>
                </c:pt>
                <c:pt idx="62">
                  <c:v>2.7008966233869801E-2</c:v>
                </c:pt>
                <c:pt idx="63">
                  <c:v>2.7008966233869801E-2</c:v>
                </c:pt>
                <c:pt idx="64">
                  <c:v>2.7008966233869801E-2</c:v>
                </c:pt>
                <c:pt idx="65">
                  <c:v>2.7008966233869801E-2</c:v>
                </c:pt>
                <c:pt idx="66">
                  <c:v>2.7008966233869801E-2</c:v>
                </c:pt>
                <c:pt idx="67">
                  <c:v>2.7008966233869801E-2</c:v>
                </c:pt>
                <c:pt idx="68">
                  <c:v>2.7008966233869801E-2</c:v>
                </c:pt>
                <c:pt idx="69">
                  <c:v>2.7008966233869801E-2</c:v>
                </c:pt>
                <c:pt idx="70">
                  <c:v>2.7008966233869801E-2</c:v>
                </c:pt>
                <c:pt idx="71">
                  <c:v>2.7008966233869801E-2</c:v>
                </c:pt>
                <c:pt idx="72">
                  <c:v>2.7008966233869801E-2</c:v>
                </c:pt>
                <c:pt idx="73">
                  <c:v>2.7008966233869801E-2</c:v>
                </c:pt>
                <c:pt idx="74">
                  <c:v>2.7008966233869801E-2</c:v>
                </c:pt>
                <c:pt idx="75">
                  <c:v>2.7008966233869801E-2</c:v>
                </c:pt>
                <c:pt idx="76">
                  <c:v>2.7008966233869801E-2</c:v>
                </c:pt>
                <c:pt idx="77">
                  <c:v>2.7008966233869801E-2</c:v>
                </c:pt>
                <c:pt idx="78">
                  <c:v>2.7008966233869801E-2</c:v>
                </c:pt>
                <c:pt idx="79">
                  <c:v>2.7008966233869801E-2</c:v>
                </c:pt>
                <c:pt idx="80">
                  <c:v>2.7008966233869801E-2</c:v>
                </c:pt>
                <c:pt idx="81">
                  <c:v>2.7008966233869801E-2</c:v>
                </c:pt>
                <c:pt idx="82">
                  <c:v>2.7008966233869801E-2</c:v>
                </c:pt>
                <c:pt idx="83">
                  <c:v>2.7008966233869801E-2</c:v>
                </c:pt>
                <c:pt idx="84">
                  <c:v>2.7008966233869801E-2</c:v>
                </c:pt>
                <c:pt idx="85">
                  <c:v>2.7008966233869801E-2</c:v>
                </c:pt>
                <c:pt idx="86">
                  <c:v>2.7008966233869801E-2</c:v>
                </c:pt>
                <c:pt idx="87">
                  <c:v>2.7008966233869801E-2</c:v>
                </c:pt>
                <c:pt idx="88">
                  <c:v>2.7008966233869801E-2</c:v>
                </c:pt>
                <c:pt idx="89">
                  <c:v>2.7008966233869801E-2</c:v>
                </c:pt>
                <c:pt idx="90">
                  <c:v>2.7008966233869801E-2</c:v>
                </c:pt>
                <c:pt idx="91">
                  <c:v>2.7008966233869801E-2</c:v>
                </c:pt>
                <c:pt idx="92">
                  <c:v>2.7008966233869801E-2</c:v>
                </c:pt>
                <c:pt idx="93">
                  <c:v>2.7008966233869801E-2</c:v>
                </c:pt>
                <c:pt idx="94">
                  <c:v>2.7008966233869801E-2</c:v>
                </c:pt>
                <c:pt idx="95">
                  <c:v>2.7008966233869801E-2</c:v>
                </c:pt>
                <c:pt idx="96">
                  <c:v>2.7008966233869801E-2</c:v>
                </c:pt>
                <c:pt idx="97">
                  <c:v>2.7008966233869801E-2</c:v>
                </c:pt>
                <c:pt idx="98">
                  <c:v>2.7008966233869801E-2</c:v>
                </c:pt>
                <c:pt idx="99">
                  <c:v>2.7008966233869801E-2</c:v>
                </c:pt>
                <c:pt idx="100">
                  <c:v>2.7008966233869801E-2</c:v>
                </c:pt>
              </c:numCache>
            </c:numRef>
          </c:xVal>
          <c:yVal>
            <c:numRef>
              <c:f>OptionsPlots!$J$2:$J$102</c:f>
              <c:numCache>
                <c:formatCode>_("$"* #,##0.0_);_("$"* \(#,##0.0\);_("$"* "-"??_);_(@_)</c:formatCode>
                <c:ptCount val="101"/>
                <c:pt idx="0">
                  <c:v>37.206013395797285</c:v>
                </c:pt>
                <c:pt idx="1">
                  <c:v>37.311408246628481</c:v>
                </c:pt>
                <c:pt idx="2">
                  <c:v>37.425953192208674</c:v>
                </c:pt>
                <c:pt idx="3">
                  <c:v>37.548069103929734</c:v>
                </c:pt>
                <c:pt idx="4">
                  <c:v>37.676435741654544</c:v>
                </c:pt>
                <c:pt idx="5">
                  <c:v>37.809951522469845</c:v>
                </c:pt>
                <c:pt idx="6">
                  <c:v>37.947696973656697</c:v>
                </c:pt>
                <c:pt idx="7">
                  <c:v>38.088903332547673</c:v>
                </c:pt>
                <c:pt idx="8">
                  <c:v>38.232926301640262</c:v>
                </c:pt>
                <c:pt idx="9">
                  <c:v>38.379224416408114</c:v>
                </c:pt>
                <c:pt idx="10">
                  <c:v>38.527341332781333</c:v>
                </c:pt>
                <c:pt idx="11">
                  <c:v>38.676891358950108</c:v>
                </c:pt>
                <c:pt idx="12">
                  <c:v>38.827547635903521</c:v>
                </c:pt>
                <c:pt idx="13">
                  <c:v>38.979032465807443</c:v>
                </c:pt>
                <c:pt idx="14">
                  <c:v>39.131109377323284</c:v>
                </c:pt>
                <c:pt idx="15">
                  <c:v>39.283576595268933</c:v>
                </c:pt>
                <c:pt idx="16">
                  <c:v>39.436261647249488</c:v>
                </c:pt>
                <c:pt idx="17">
                  <c:v>39.58901689295066</c:v>
                </c:pt>
                <c:pt idx="18">
                  <c:v>39.741715804403931</c:v>
                </c:pt>
                <c:pt idx="19">
                  <c:v>39.894249859545091</c:v>
                </c:pt>
                <c:pt idx="20">
                  <c:v>40.046525938413701</c:v>
                </c:pt>
                <c:pt idx="21">
                  <c:v>40.198464132829564</c:v>
                </c:pt>
                <c:pt idx="22">
                  <c:v>40.349995897474408</c:v>
                </c:pt>
                <c:pt idx="23">
                  <c:v>40.50106248390783</c:v>
                </c:pt>
                <c:pt idx="24">
                  <c:v>40.651613609925718</c:v>
                </c:pt>
                <c:pt idx="25">
                  <c:v>40.801606325381286</c:v>
                </c:pt>
                <c:pt idx="26">
                  <c:v>40.951004042571498</c:v>
                </c:pt>
                <c:pt idx="27">
                  <c:v>41.099775704962632</c:v>
                </c:pt>
                <c:pt idx="28">
                  <c:v>41.2478950725624</c:v>
                </c:pt>
                <c:pt idx="29">
                  <c:v>41.39534010598819</c:v>
                </c:pt>
                <c:pt idx="30">
                  <c:v>41.542092434279795</c:v>
                </c:pt>
                <c:pt idx="31">
                  <c:v>41.688136893987746</c:v>
                </c:pt>
                <c:pt idx="32">
                  <c:v>41.833461129100016</c:v>
                </c:pt>
                <c:pt idx="33">
                  <c:v>41.978055243035662</c:v>
                </c:pt>
                <c:pt idx="34">
                  <c:v>42.121911495318415</c:v>
                </c:pt>
                <c:pt idx="35">
                  <c:v>42.265024036686476</c:v>
                </c:pt>
                <c:pt idx="36">
                  <c:v>42.407388677352657</c:v>
                </c:pt>
                <c:pt idx="37">
                  <c:v>42.549002683914097</c:v>
                </c:pt>
                <c:pt idx="38">
                  <c:v>42.689864601087656</c:v>
                </c:pt>
                <c:pt idx="39">
                  <c:v>42.829974094995016</c:v>
                </c:pt>
                <c:pt idx="40">
                  <c:v>42.969331815197513</c:v>
                </c:pt>
                <c:pt idx="41">
                  <c:v>43.107939273074315</c:v>
                </c:pt>
                <c:pt idx="42">
                  <c:v>43.245798734477432</c:v>
                </c:pt>
                <c:pt idx="43">
                  <c:v>43.382913124873326</c:v>
                </c:pt>
                <c:pt idx="44">
                  <c:v>43.519285945435335</c:v>
                </c:pt>
                <c:pt idx="45">
                  <c:v>43.654921198744916</c:v>
                </c:pt>
                <c:pt idx="46">
                  <c:v>43.789823322946006</c:v>
                </c:pt>
                <c:pt idx="47">
                  <c:v>43.923997133343619</c:v>
                </c:pt>
                <c:pt idx="48">
                  <c:v>44.057447770567073</c:v>
                </c:pt>
                <c:pt idx="49">
                  <c:v>44.190180654534224</c:v>
                </c:pt>
                <c:pt idx="50">
                  <c:v>44.322201443542461</c:v>
                </c:pt>
                <c:pt idx="51">
                  <c:v>44.453515997903587</c:v>
                </c:pt>
                <c:pt idx="52">
                  <c:v>44.584130347606212</c:v>
                </c:pt>
                <c:pt idx="53">
                  <c:v>44.714050663551127</c:v>
                </c:pt>
                <c:pt idx="54">
                  <c:v>44.843283231966574</c:v>
                </c:pt>
                <c:pt idx="55">
                  <c:v>44.971834431646421</c:v>
                </c:pt>
                <c:pt idx="56">
                  <c:v>45.099710713708042</c:v>
                </c:pt>
                <c:pt idx="57">
                  <c:v>45.226918583591029</c:v>
                </c:pt>
                <c:pt idx="58">
                  <c:v>45.353464585057715</c:v>
                </c:pt>
                <c:pt idx="59">
                  <c:v>45.47935528598034</c:v>
                </c:pt>
                <c:pt idx="60">
                  <c:v>45.604597265724564</c:v>
                </c:pt>
                <c:pt idx="61">
                  <c:v>45.729197103958874</c:v>
                </c:pt>
                <c:pt idx="62">
                  <c:v>45.853161370742157</c:v>
                </c:pt>
                <c:pt idx="63">
                  <c:v>45.97649661775538</c:v>
                </c:pt>
                <c:pt idx="64">
                  <c:v>46.099209370554206</c:v>
                </c:pt>
                <c:pt idx="65">
                  <c:v>46.221306121742792</c:v>
                </c:pt>
                <c:pt idx="66">
                  <c:v>46.342793324968255</c:v>
                </c:pt>
                <c:pt idx="67">
                  <c:v>46.46367738965278</c:v>
                </c:pt>
                <c:pt idx="68">
                  <c:v>46.583964676389357</c:v>
                </c:pt>
                <c:pt idx="69">
                  <c:v>46.703661492930863</c:v>
                </c:pt>
                <c:pt idx="70">
                  <c:v>46.822774090711299</c:v>
                </c:pt>
                <c:pt idx="71">
                  <c:v>46.941308661847501</c:v>
                </c:pt>
                <c:pt idx="72">
                  <c:v>47.059271336568713</c:v>
                </c:pt>
                <c:pt idx="73">
                  <c:v>47.17666818103298</c:v>
                </c:pt>
                <c:pt idx="74">
                  <c:v>47.2935051954898</c:v>
                </c:pt>
                <c:pt idx="75">
                  <c:v>47.409788312751324</c:v>
                </c:pt>
                <c:pt idx="76">
                  <c:v>47.525523396944571</c:v>
                </c:pt>
                <c:pt idx="77">
                  <c:v>47.640716242512667</c:v>
                </c:pt>
                <c:pt idx="78">
                  <c:v>47.755372573437782</c:v>
                </c:pt>
                <c:pt idx="79">
                  <c:v>47.869498042669122</c:v>
                </c:pt>
                <c:pt idx="80">
                  <c:v>47.983098231724107</c:v>
                </c:pt>
                <c:pt idx="81">
                  <c:v>48.096178650457006</c:v>
                </c:pt>
                <c:pt idx="82">
                  <c:v>48.208744736963773</c:v>
                </c:pt>
                <c:pt idx="83">
                  <c:v>48.320801857619649</c:v>
                </c:pt>
                <c:pt idx="84">
                  <c:v>48.432355307228853</c:v>
                </c:pt>
                <c:pt idx="85">
                  <c:v>48.543410309274947</c:v>
                </c:pt>
                <c:pt idx="86">
                  <c:v>48.653972016261363</c:v>
                </c:pt>
                <c:pt idx="87">
                  <c:v>48.764045510131446</c:v>
                </c:pt>
                <c:pt idx="88">
                  <c:v>48.873635802759289</c:v>
                </c:pt>
                <c:pt idx="89">
                  <c:v>48.982747836500771</c:v>
                </c:pt>
                <c:pt idx="90">
                  <c:v>49.091386484800005</c:v>
                </c:pt>
                <c:pt idx="91">
                  <c:v>49.199556552843525</c:v>
                </c:pt>
                <c:pt idx="92">
                  <c:v>49.307262778253374</c:v>
                </c:pt>
                <c:pt idx="93">
                  <c:v>49.414509831817682</c:v>
                </c:pt>
                <c:pt idx="94">
                  <c:v>49.52130231825226</c:v>
                </c:pt>
                <c:pt idx="95">
                  <c:v>49.627644776985079</c:v>
                </c:pt>
                <c:pt idx="96">
                  <c:v>49.733541682965985</c:v>
                </c:pt>
                <c:pt idx="97">
                  <c:v>49.838997447491948</c:v>
                </c:pt>
                <c:pt idx="98">
                  <c:v>49.94401641904804</c:v>
                </c:pt>
                <c:pt idx="99">
                  <c:v>50.048602884160864</c:v>
                </c:pt>
                <c:pt idx="100">
                  <c:v>50.152761068259203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18-483F-8D1B-0107B4B8A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42927"/>
        <c:axId val="331938351"/>
      </c:scatterChart>
      <c:valAx>
        <c:axId val="331942927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Time to maturity</a:t>
                </a:r>
                <a:r>
                  <a:rPr lang="es-MX" sz="800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(years)</a:t>
                </a:r>
                <a:endParaRPr lang="es-MX" sz="8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38351"/>
        <c:crosses val="autoZero"/>
        <c:crossBetween val="midCat"/>
      </c:valAx>
      <c:valAx>
        <c:axId val="3319383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Option price ($)</a:t>
                </a:r>
              </a:p>
            </c:rich>
          </c:tx>
          <c:layout>
            <c:manualLayout>
              <c:xMode val="edge"/>
              <c:yMode val="edge"/>
              <c:x val="2.2312335958005275E-2"/>
              <c:y val="0.1316725721784776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&quot;$&quot;* #,##0.0_);_(&quot;$&quot;* \(#,##0.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42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64599737532808"/>
          <c:y val="0.87298852577056185"/>
          <c:w val="0.66240190288713907"/>
          <c:h val="0.12500087489063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365034448818896"/>
          <c:y val="6.908693935381971E-2"/>
          <c:w val="0.75818745313085867"/>
          <c:h val="0.57646911945741286"/>
        </c:manualLayout>
      </c:layout>
      <c:scatterChart>
        <c:scatterStyle val="smoothMarker"/>
        <c:varyColors val="0"/>
        <c:ser>
          <c:idx val="0"/>
          <c:order val="0"/>
          <c:tx>
            <c:v>Price vs. rf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OptionsPlots!$C$2:$C$102</c:f>
              <c:numCache>
                <c:formatCode>0.000%</c:formatCode>
                <c:ptCount val="101"/>
                <c:pt idx="0">
                  <c:v>0</c:v>
                </c:pt>
                <c:pt idx="1">
                  <c:v>1.3500000000000001E-5</c:v>
                </c:pt>
                <c:pt idx="2">
                  <c:v>2.7000000000000002E-5</c:v>
                </c:pt>
                <c:pt idx="3">
                  <c:v>4.0500000000000002E-5</c:v>
                </c:pt>
                <c:pt idx="4">
                  <c:v>5.4000000000000005E-5</c:v>
                </c:pt>
                <c:pt idx="5">
                  <c:v>6.7500000000000001E-5</c:v>
                </c:pt>
                <c:pt idx="6">
                  <c:v>8.1000000000000004E-5</c:v>
                </c:pt>
                <c:pt idx="7">
                  <c:v>9.4500000000000007E-5</c:v>
                </c:pt>
                <c:pt idx="8">
                  <c:v>1.0800000000000001E-4</c:v>
                </c:pt>
                <c:pt idx="9">
                  <c:v>1.2150000000000001E-4</c:v>
                </c:pt>
                <c:pt idx="10">
                  <c:v>1.35E-4</c:v>
                </c:pt>
                <c:pt idx="11">
                  <c:v>1.485E-4</c:v>
                </c:pt>
                <c:pt idx="12">
                  <c:v>1.6200000000000001E-4</c:v>
                </c:pt>
                <c:pt idx="13">
                  <c:v>1.7550000000000001E-4</c:v>
                </c:pt>
                <c:pt idx="14">
                  <c:v>1.8900000000000001E-4</c:v>
                </c:pt>
                <c:pt idx="15">
                  <c:v>2.0250000000000002E-4</c:v>
                </c:pt>
                <c:pt idx="16">
                  <c:v>2.1600000000000002E-4</c:v>
                </c:pt>
                <c:pt idx="17">
                  <c:v>2.2950000000000002E-4</c:v>
                </c:pt>
                <c:pt idx="18">
                  <c:v>2.4300000000000002E-4</c:v>
                </c:pt>
                <c:pt idx="19">
                  <c:v>2.565E-4</c:v>
                </c:pt>
                <c:pt idx="20">
                  <c:v>2.7E-4</c:v>
                </c:pt>
                <c:pt idx="21">
                  <c:v>2.8350000000000001E-4</c:v>
                </c:pt>
                <c:pt idx="22">
                  <c:v>2.9700000000000001E-4</c:v>
                </c:pt>
                <c:pt idx="23">
                  <c:v>3.1050000000000001E-4</c:v>
                </c:pt>
                <c:pt idx="24">
                  <c:v>3.2400000000000001E-4</c:v>
                </c:pt>
                <c:pt idx="25">
                  <c:v>3.3750000000000002E-4</c:v>
                </c:pt>
                <c:pt idx="26">
                  <c:v>3.5100000000000002E-4</c:v>
                </c:pt>
                <c:pt idx="27">
                  <c:v>3.6450000000000002E-4</c:v>
                </c:pt>
                <c:pt idx="28">
                  <c:v>3.7800000000000003E-4</c:v>
                </c:pt>
                <c:pt idx="29">
                  <c:v>3.9150000000000003E-4</c:v>
                </c:pt>
                <c:pt idx="30">
                  <c:v>4.0500000000000003E-4</c:v>
                </c:pt>
                <c:pt idx="31">
                  <c:v>4.1850000000000004E-4</c:v>
                </c:pt>
                <c:pt idx="32">
                  <c:v>4.3200000000000004E-4</c:v>
                </c:pt>
                <c:pt idx="33">
                  <c:v>4.4550000000000004E-4</c:v>
                </c:pt>
                <c:pt idx="34">
                  <c:v>4.5900000000000004E-4</c:v>
                </c:pt>
                <c:pt idx="35">
                  <c:v>4.7250000000000005E-4</c:v>
                </c:pt>
                <c:pt idx="36">
                  <c:v>4.8600000000000005E-4</c:v>
                </c:pt>
                <c:pt idx="37">
                  <c:v>4.9950000000000005E-4</c:v>
                </c:pt>
                <c:pt idx="38">
                  <c:v>5.13E-4</c:v>
                </c:pt>
                <c:pt idx="39">
                  <c:v>5.2649999999999995E-4</c:v>
                </c:pt>
                <c:pt idx="40">
                  <c:v>5.399999999999999E-4</c:v>
                </c:pt>
                <c:pt idx="41">
                  <c:v>5.5349999999999985E-4</c:v>
                </c:pt>
                <c:pt idx="42">
                  <c:v>5.669999999999998E-4</c:v>
                </c:pt>
                <c:pt idx="43">
                  <c:v>5.8049999999999974E-4</c:v>
                </c:pt>
                <c:pt idx="44">
                  <c:v>5.9399999999999969E-4</c:v>
                </c:pt>
                <c:pt idx="45">
                  <c:v>6.0749999999999964E-4</c:v>
                </c:pt>
                <c:pt idx="46">
                  <c:v>6.2099999999999959E-4</c:v>
                </c:pt>
                <c:pt idx="47">
                  <c:v>6.3449999999999954E-4</c:v>
                </c:pt>
                <c:pt idx="48">
                  <c:v>6.4799999999999949E-4</c:v>
                </c:pt>
                <c:pt idx="49">
                  <c:v>6.6149999999999944E-4</c:v>
                </c:pt>
                <c:pt idx="50">
                  <c:v>6.7499999999999939E-4</c:v>
                </c:pt>
                <c:pt idx="51">
                  <c:v>6.8849999999999933E-4</c:v>
                </c:pt>
                <c:pt idx="52">
                  <c:v>7.0199999999999928E-4</c:v>
                </c:pt>
                <c:pt idx="53">
                  <c:v>7.1549999999999923E-4</c:v>
                </c:pt>
                <c:pt idx="54">
                  <c:v>7.2899999999999918E-4</c:v>
                </c:pt>
                <c:pt idx="55">
                  <c:v>7.4249999999999913E-4</c:v>
                </c:pt>
                <c:pt idx="56">
                  <c:v>7.5599999999999908E-4</c:v>
                </c:pt>
                <c:pt idx="57">
                  <c:v>7.6949999999999903E-4</c:v>
                </c:pt>
                <c:pt idx="58">
                  <c:v>7.8299999999999897E-4</c:v>
                </c:pt>
                <c:pt idx="59">
                  <c:v>7.9649999999999892E-4</c:v>
                </c:pt>
                <c:pt idx="60">
                  <c:v>8.0999999999999887E-4</c:v>
                </c:pt>
                <c:pt idx="61">
                  <c:v>8.2349999999999882E-4</c:v>
                </c:pt>
                <c:pt idx="62">
                  <c:v>8.3699999999999877E-4</c:v>
                </c:pt>
                <c:pt idx="63">
                  <c:v>8.5049999999999872E-4</c:v>
                </c:pt>
                <c:pt idx="64">
                  <c:v>8.6399999999999867E-4</c:v>
                </c:pt>
                <c:pt idx="65">
                  <c:v>8.7749999999999862E-4</c:v>
                </c:pt>
                <c:pt idx="66">
                  <c:v>8.9099999999999856E-4</c:v>
                </c:pt>
                <c:pt idx="67">
                  <c:v>9.0449999999999851E-4</c:v>
                </c:pt>
                <c:pt idx="68">
                  <c:v>9.1799999999999846E-4</c:v>
                </c:pt>
                <c:pt idx="69">
                  <c:v>9.3149999999999841E-4</c:v>
                </c:pt>
                <c:pt idx="70">
                  <c:v>9.4499999999999836E-4</c:v>
                </c:pt>
                <c:pt idx="71">
                  <c:v>9.5849999999999831E-4</c:v>
                </c:pt>
                <c:pt idx="72">
                  <c:v>9.7199999999999826E-4</c:v>
                </c:pt>
                <c:pt idx="73">
                  <c:v>9.8549999999999831E-4</c:v>
                </c:pt>
                <c:pt idx="74">
                  <c:v>9.9899999999999837E-4</c:v>
                </c:pt>
                <c:pt idx="75">
                  <c:v>1.0124999999999984E-3</c:v>
                </c:pt>
                <c:pt idx="76">
                  <c:v>1.0259999999999985E-3</c:v>
                </c:pt>
                <c:pt idx="77">
                  <c:v>1.0394999999999985E-3</c:v>
                </c:pt>
                <c:pt idx="78">
                  <c:v>1.0529999999999986E-3</c:v>
                </c:pt>
                <c:pt idx="79">
                  <c:v>1.0664999999999987E-3</c:v>
                </c:pt>
                <c:pt idx="80">
                  <c:v>1.0799999999999987E-3</c:v>
                </c:pt>
                <c:pt idx="81">
                  <c:v>1.0934999999999988E-3</c:v>
                </c:pt>
                <c:pt idx="82">
                  <c:v>1.1069999999999988E-3</c:v>
                </c:pt>
                <c:pt idx="83">
                  <c:v>1.1204999999999989E-3</c:v>
                </c:pt>
                <c:pt idx="84">
                  <c:v>1.1339999999999989E-3</c:v>
                </c:pt>
                <c:pt idx="85">
                  <c:v>1.147499999999999E-3</c:v>
                </c:pt>
                <c:pt idx="86">
                  <c:v>1.1609999999999991E-3</c:v>
                </c:pt>
                <c:pt idx="87">
                  <c:v>1.1744999999999991E-3</c:v>
                </c:pt>
                <c:pt idx="88">
                  <c:v>1.1879999999999992E-3</c:v>
                </c:pt>
                <c:pt idx="89">
                  <c:v>1.2014999999999992E-3</c:v>
                </c:pt>
                <c:pt idx="90">
                  <c:v>1.2149999999999993E-3</c:v>
                </c:pt>
                <c:pt idx="91">
                  <c:v>1.2284999999999993E-3</c:v>
                </c:pt>
                <c:pt idx="92">
                  <c:v>1.2419999999999994E-3</c:v>
                </c:pt>
                <c:pt idx="93">
                  <c:v>1.2554999999999995E-3</c:v>
                </c:pt>
                <c:pt idx="94">
                  <c:v>1.2689999999999995E-3</c:v>
                </c:pt>
                <c:pt idx="95">
                  <c:v>1.2824999999999996E-3</c:v>
                </c:pt>
                <c:pt idx="96">
                  <c:v>1.2959999999999996E-3</c:v>
                </c:pt>
                <c:pt idx="97">
                  <c:v>1.3094999999999997E-3</c:v>
                </c:pt>
                <c:pt idx="98">
                  <c:v>1.3229999999999997E-3</c:v>
                </c:pt>
                <c:pt idx="99">
                  <c:v>1.3364999999999998E-3</c:v>
                </c:pt>
                <c:pt idx="100">
                  <c:v>1.3499999999999999E-3</c:v>
                </c:pt>
              </c:numCache>
            </c:numRef>
          </c:xVal>
          <c:yVal>
            <c:numRef>
              <c:f>OptionsPlots!$D$2:$D$102</c:f>
              <c:numCache>
                <c:formatCode>_("$"* #,##0.00_);_("$"* \(#,##0.00\);_("$"* "-"??_);_(@_)</c:formatCode>
                <c:ptCount val="101"/>
                <c:pt idx="0">
                  <c:v>49.116066920378557</c:v>
                </c:pt>
                <c:pt idx="1">
                  <c:v>49.116369920538794</c:v>
                </c:pt>
                <c:pt idx="2">
                  <c:v>49.116672921614771</c:v>
                </c:pt>
                <c:pt idx="3">
                  <c:v>49.11697592360516</c:v>
                </c:pt>
                <c:pt idx="4">
                  <c:v>49.117278926512448</c:v>
                </c:pt>
                <c:pt idx="5">
                  <c:v>49.11758193033512</c:v>
                </c:pt>
                <c:pt idx="6">
                  <c:v>49.117884935073576</c:v>
                </c:pt>
                <c:pt idx="7">
                  <c:v>49.118187940726443</c:v>
                </c:pt>
                <c:pt idx="8">
                  <c:v>49.118490947296159</c:v>
                </c:pt>
                <c:pt idx="9">
                  <c:v>49.118793954781445</c:v>
                </c:pt>
                <c:pt idx="10">
                  <c:v>49.119096963182287</c:v>
                </c:pt>
                <c:pt idx="11">
                  <c:v>49.119399972497526</c:v>
                </c:pt>
                <c:pt idx="12">
                  <c:v>49.119702982729621</c:v>
                </c:pt>
                <c:pt idx="13">
                  <c:v>49.120005993877371</c:v>
                </c:pt>
                <c:pt idx="14">
                  <c:v>49.120309005940818</c:v>
                </c:pt>
                <c:pt idx="15">
                  <c:v>49.120612018918422</c:v>
                </c:pt>
                <c:pt idx="16">
                  <c:v>49.120915032812704</c:v>
                </c:pt>
                <c:pt idx="17">
                  <c:v>49.121218047622683</c:v>
                </c:pt>
                <c:pt idx="18">
                  <c:v>49.121521063348261</c:v>
                </c:pt>
                <c:pt idx="19">
                  <c:v>49.121824079988194</c:v>
                </c:pt>
                <c:pt idx="20">
                  <c:v>49.122127097544976</c:v>
                </c:pt>
                <c:pt idx="21">
                  <c:v>49.122430116017178</c:v>
                </c:pt>
                <c:pt idx="22">
                  <c:v>49.122733135405156</c:v>
                </c:pt>
                <c:pt idx="23">
                  <c:v>49.123036155707311</c:v>
                </c:pt>
                <c:pt idx="24">
                  <c:v>49.12333917692645</c:v>
                </c:pt>
                <c:pt idx="25">
                  <c:v>49.12364219906091</c:v>
                </c:pt>
                <c:pt idx="26">
                  <c:v>49.123945222110876</c:v>
                </c:pt>
                <c:pt idx="27">
                  <c:v>49.124248246075382</c:v>
                </c:pt>
                <c:pt idx="28">
                  <c:v>49.12455127095641</c:v>
                </c:pt>
                <c:pt idx="29">
                  <c:v>49.12485429675327</c:v>
                </c:pt>
                <c:pt idx="30">
                  <c:v>49.125157323465388</c:v>
                </c:pt>
                <c:pt idx="31">
                  <c:v>49.125460351091924</c:v>
                </c:pt>
                <c:pt idx="32">
                  <c:v>49.125763379635288</c:v>
                </c:pt>
                <c:pt idx="33">
                  <c:v>49.126066409094307</c:v>
                </c:pt>
                <c:pt idx="34">
                  <c:v>49.126369439468306</c:v>
                </c:pt>
                <c:pt idx="35">
                  <c:v>49.126672470757029</c:v>
                </c:pt>
                <c:pt idx="36">
                  <c:v>49.12697550296231</c:v>
                </c:pt>
                <c:pt idx="37">
                  <c:v>49.127278536083203</c:v>
                </c:pt>
                <c:pt idx="38">
                  <c:v>49.127581570119588</c:v>
                </c:pt>
                <c:pt idx="39">
                  <c:v>49.127884605070179</c:v>
                </c:pt>
                <c:pt idx="40">
                  <c:v>49.128187640937469</c:v>
                </c:pt>
                <c:pt idx="41">
                  <c:v>49.128490677720556</c:v>
                </c:pt>
                <c:pt idx="42">
                  <c:v>49.128793715418709</c:v>
                </c:pt>
                <c:pt idx="43">
                  <c:v>49.129096754031295</c:v>
                </c:pt>
                <c:pt idx="44">
                  <c:v>49.129399793560644</c:v>
                </c:pt>
                <c:pt idx="45">
                  <c:v>49.129702834005485</c:v>
                </c:pt>
                <c:pt idx="46">
                  <c:v>49.130005875365725</c:v>
                </c:pt>
                <c:pt idx="47">
                  <c:v>49.130308917640228</c:v>
                </c:pt>
                <c:pt idx="48">
                  <c:v>49.130611960831324</c:v>
                </c:pt>
                <c:pt idx="49">
                  <c:v>49.130915004938018</c:v>
                </c:pt>
                <c:pt idx="50">
                  <c:v>49.131218049960161</c:v>
                </c:pt>
                <c:pt idx="51">
                  <c:v>49.13152109589641</c:v>
                </c:pt>
                <c:pt idx="52">
                  <c:v>49.131824142749451</c:v>
                </c:pt>
                <c:pt idx="53">
                  <c:v>49.132127190517814</c:v>
                </c:pt>
                <c:pt idx="54">
                  <c:v>49.132430239201938</c:v>
                </c:pt>
                <c:pt idx="55">
                  <c:v>49.132733288799891</c:v>
                </c:pt>
                <c:pt idx="56">
                  <c:v>49.133036339314721</c:v>
                </c:pt>
                <c:pt idx="57">
                  <c:v>49.133339390744915</c:v>
                </c:pt>
                <c:pt idx="58">
                  <c:v>49.133642443090601</c:v>
                </c:pt>
                <c:pt idx="59">
                  <c:v>49.133945496350577</c:v>
                </c:pt>
                <c:pt idx="60">
                  <c:v>49.134248550526969</c:v>
                </c:pt>
                <c:pt idx="61">
                  <c:v>49.134551605618995</c:v>
                </c:pt>
                <c:pt idx="62">
                  <c:v>49.13485466162642</c:v>
                </c:pt>
                <c:pt idx="63">
                  <c:v>49.135157718547717</c:v>
                </c:pt>
                <c:pt idx="64">
                  <c:v>49.135460776385933</c:v>
                </c:pt>
                <c:pt idx="65">
                  <c:v>49.135763835139556</c:v>
                </c:pt>
                <c:pt idx="66">
                  <c:v>49.136066894808714</c:v>
                </c:pt>
                <c:pt idx="67">
                  <c:v>49.136369955391785</c:v>
                </c:pt>
                <c:pt idx="68">
                  <c:v>49.136673016891223</c:v>
                </c:pt>
                <c:pt idx="69">
                  <c:v>49.136976079306663</c:v>
                </c:pt>
                <c:pt idx="70">
                  <c:v>49.137279142637219</c:v>
                </c:pt>
                <c:pt idx="71">
                  <c:v>49.137582206881781</c:v>
                </c:pt>
                <c:pt idx="72">
                  <c:v>49.137885272043121</c:v>
                </c:pt>
                <c:pt idx="73">
                  <c:v>49.138188338119818</c:v>
                </c:pt>
                <c:pt idx="74">
                  <c:v>49.138491405112092</c:v>
                </c:pt>
                <c:pt idx="75">
                  <c:v>49.138794473018102</c:v>
                </c:pt>
                <c:pt idx="76">
                  <c:v>49.139097541840691</c:v>
                </c:pt>
                <c:pt idx="77">
                  <c:v>49.139400611578964</c:v>
                </c:pt>
                <c:pt idx="78">
                  <c:v>49.139703682232536</c:v>
                </c:pt>
                <c:pt idx="79">
                  <c:v>49.140006753800151</c:v>
                </c:pt>
                <c:pt idx="80">
                  <c:v>49.140309826284316</c:v>
                </c:pt>
                <c:pt idx="81">
                  <c:v>49.14061289968388</c:v>
                </c:pt>
                <c:pt idx="82">
                  <c:v>49.14091597399878</c:v>
                </c:pt>
                <c:pt idx="83">
                  <c:v>49.141219049227871</c:v>
                </c:pt>
                <c:pt idx="84">
                  <c:v>49.141522125373328</c:v>
                </c:pt>
                <c:pt idx="85">
                  <c:v>49.141825202434354</c:v>
                </c:pt>
                <c:pt idx="86">
                  <c:v>49.142128280410446</c:v>
                </c:pt>
                <c:pt idx="87">
                  <c:v>49.142431359301</c:v>
                </c:pt>
                <c:pt idx="88">
                  <c:v>49.142734439107684</c:v>
                </c:pt>
                <c:pt idx="89">
                  <c:v>49.143037519830138</c:v>
                </c:pt>
                <c:pt idx="90">
                  <c:v>49.143340601467642</c:v>
                </c:pt>
                <c:pt idx="91">
                  <c:v>49.143643684019146</c:v>
                </c:pt>
                <c:pt idx="92">
                  <c:v>49.143946767487236</c:v>
                </c:pt>
                <c:pt idx="93">
                  <c:v>49.144249851870811</c:v>
                </c:pt>
                <c:pt idx="94">
                  <c:v>49.144552937169586</c:v>
                </c:pt>
                <c:pt idx="95">
                  <c:v>49.144856023382403</c:v>
                </c:pt>
                <c:pt idx="96">
                  <c:v>49.145159110511578</c:v>
                </c:pt>
                <c:pt idx="97">
                  <c:v>49.145462198556231</c:v>
                </c:pt>
                <c:pt idx="98">
                  <c:v>49.145765287516035</c:v>
                </c:pt>
                <c:pt idx="99">
                  <c:v>49.146068377389931</c:v>
                </c:pt>
                <c:pt idx="100">
                  <c:v>49.146371468180448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2B-42EF-9099-01974338112A}"/>
            </c:ext>
          </c:extLst>
        </c:ser>
        <c:ser>
          <c:idx val="1"/>
          <c:order val="1"/>
          <c:tx>
            <c:v>Actual</c:v>
          </c:tx>
          <c:spPr>
            <a:ln w="19050" cap="rnd">
              <a:solidFill>
                <a:schemeClr val="accent4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OptionsPlots!$E$2:$E$102</c:f>
              <c:numCache>
                <c:formatCode>0.000%</c:formatCode>
                <c:ptCount val="101"/>
                <c:pt idx="0">
                  <c:v>4.4999999999999999E-4</c:v>
                </c:pt>
                <c:pt idx="1">
                  <c:v>4.4999999999999999E-4</c:v>
                </c:pt>
                <c:pt idx="2">
                  <c:v>4.4999999999999999E-4</c:v>
                </c:pt>
                <c:pt idx="3">
                  <c:v>4.4999999999999999E-4</c:v>
                </c:pt>
                <c:pt idx="4">
                  <c:v>4.4999999999999999E-4</c:v>
                </c:pt>
                <c:pt idx="5">
                  <c:v>4.4999999999999999E-4</c:v>
                </c:pt>
                <c:pt idx="6">
                  <c:v>4.4999999999999999E-4</c:v>
                </c:pt>
                <c:pt idx="7">
                  <c:v>4.4999999999999999E-4</c:v>
                </c:pt>
                <c:pt idx="8">
                  <c:v>4.4999999999999999E-4</c:v>
                </c:pt>
                <c:pt idx="9">
                  <c:v>4.4999999999999999E-4</c:v>
                </c:pt>
                <c:pt idx="10">
                  <c:v>4.4999999999999999E-4</c:v>
                </c:pt>
                <c:pt idx="11">
                  <c:v>4.4999999999999999E-4</c:v>
                </c:pt>
                <c:pt idx="12">
                  <c:v>4.4999999999999999E-4</c:v>
                </c:pt>
                <c:pt idx="13">
                  <c:v>4.4999999999999999E-4</c:v>
                </c:pt>
                <c:pt idx="14">
                  <c:v>4.4999999999999999E-4</c:v>
                </c:pt>
                <c:pt idx="15">
                  <c:v>4.4999999999999999E-4</c:v>
                </c:pt>
                <c:pt idx="16">
                  <c:v>4.4999999999999999E-4</c:v>
                </c:pt>
                <c:pt idx="17">
                  <c:v>4.4999999999999999E-4</c:v>
                </c:pt>
                <c:pt idx="18">
                  <c:v>4.4999999999999999E-4</c:v>
                </c:pt>
                <c:pt idx="19">
                  <c:v>4.4999999999999999E-4</c:v>
                </c:pt>
                <c:pt idx="20">
                  <c:v>4.4999999999999999E-4</c:v>
                </c:pt>
                <c:pt idx="21">
                  <c:v>4.4999999999999999E-4</c:v>
                </c:pt>
                <c:pt idx="22">
                  <c:v>4.4999999999999999E-4</c:v>
                </c:pt>
                <c:pt idx="23">
                  <c:v>4.4999999999999999E-4</c:v>
                </c:pt>
                <c:pt idx="24">
                  <c:v>4.4999999999999999E-4</c:v>
                </c:pt>
                <c:pt idx="25">
                  <c:v>4.4999999999999999E-4</c:v>
                </c:pt>
                <c:pt idx="26">
                  <c:v>4.4999999999999999E-4</c:v>
                </c:pt>
                <c:pt idx="27">
                  <c:v>4.4999999999999999E-4</c:v>
                </c:pt>
                <c:pt idx="28">
                  <c:v>4.4999999999999999E-4</c:v>
                </c:pt>
                <c:pt idx="29">
                  <c:v>4.4999999999999999E-4</c:v>
                </c:pt>
                <c:pt idx="30">
                  <c:v>4.4999999999999999E-4</c:v>
                </c:pt>
                <c:pt idx="31">
                  <c:v>4.4999999999999999E-4</c:v>
                </c:pt>
                <c:pt idx="32">
                  <c:v>4.4999999999999999E-4</c:v>
                </c:pt>
                <c:pt idx="33">
                  <c:v>4.4999999999999999E-4</c:v>
                </c:pt>
                <c:pt idx="34">
                  <c:v>4.4999999999999999E-4</c:v>
                </c:pt>
                <c:pt idx="35">
                  <c:v>4.4999999999999999E-4</c:v>
                </c:pt>
                <c:pt idx="36">
                  <c:v>4.4999999999999999E-4</c:v>
                </c:pt>
                <c:pt idx="37">
                  <c:v>4.4999999999999999E-4</c:v>
                </c:pt>
                <c:pt idx="38">
                  <c:v>4.4999999999999999E-4</c:v>
                </c:pt>
                <c:pt idx="39">
                  <c:v>4.4999999999999999E-4</c:v>
                </c:pt>
                <c:pt idx="40">
                  <c:v>4.4999999999999999E-4</c:v>
                </c:pt>
                <c:pt idx="41">
                  <c:v>4.4999999999999999E-4</c:v>
                </c:pt>
                <c:pt idx="42">
                  <c:v>4.4999999999999999E-4</c:v>
                </c:pt>
                <c:pt idx="43">
                  <c:v>4.4999999999999999E-4</c:v>
                </c:pt>
                <c:pt idx="44">
                  <c:v>4.4999999999999999E-4</c:v>
                </c:pt>
                <c:pt idx="45">
                  <c:v>4.4999999999999999E-4</c:v>
                </c:pt>
                <c:pt idx="46">
                  <c:v>4.4999999999999999E-4</c:v>
                </c:pt>
                <c:pt idx="47">
                  <c:v>4.4999999999999999E-4</c:v>
                </c:pt>
                <c:pt idx="48">
                  <c:v>4.4999999999999999E-4</c:v>
                </c:pt>
                <c:pt idx="49">
                  <c:v>4.4999999999999999E-4</c:v>
                </c:pt>
                <c:pt idx="50">
                  <c:v>4.4999999999999999E-4</c:v>
                </c:pt>
                <c:pt idx="51">
                  <c:v>4.4999999999999999E-4</c:v>
                </c:pt>
                <c:pt idx="52">
                  <c:v>4.4999999999999999E-4</c:v>
                </c:pt>
                <c:pt idx="53">
                  <c:v>4.4999999999999999E-4</c:v>
                </c:pt>
                <c:pt idx="54">
                  <c:v>4.4999999999999999E-4</c:v>
                </c:pt>
                <c:pt idx="55">
                  <c:v>4.4999999999999999E-4</c:v>
                </c:pt>
                <c:pt idx="56">
                  <c:v>4.4999999999999999E-4</c:v>
                </c:pt>
                <c:pt idx="57">
                  <c:v>4.4999999999999999E-4</c:v>
                </c:pt>
                <c:pt idx="58">
                  <c:v>4.4999999999999999E-4</c:v>
                </c:pt>
                <c:pt idx="59">
                  <c:v>4.4999999999999999E-4</c:v>
                </c:pt>
                <c:pt idx="60">
                  <c:v>4.4999999999999999E-4</c:v>
                </c:pt>
                <c:pt idx="61">
                  <c:v>4.4999999999999999E-4</c:v>
                </c:pt>
                <c:pt idx="62">
                  <c:v>4.4999999999999999E-4</c:v>
                </c:pt>
                <c:pt idx="63">
                  <c:v>4.4999999999999999E-4</c:v>
                </c:pt>
                <c:pt idx="64">
                  <c:v>4.4999999999999999E-4</c:v>
                </c:pt>
                <c:pt idx="65">
                  <c:v>4.4999999999999999E-4</c:v>
                </c:pt>
                <c:pt idx="66">
                  <c:v>4.4999999999999999E-4</c:v>
                </c:pt>
                <c:pt idx="67">
                  <c:v>4.4999999999999999E-4</c:v>
                </c:pt>
                <c:pt idx="68">
                  <c:v>4.4999999999999999E-4</c:v>
                </c:pt>
                <c:pt idx="69">
                  <c:v>4.4999999999999999E-4</c:v>
                </c:pt>
                <c:pt idx="70">
                  <c:v>4.4999999999999999E-4</c:v>
                </c:pt>
                <c:pt idx="71">
                  <c:v>4.4999999999999999E-4</c:v>
                </c:pt>
                <c:pt idx="72">
                  <c:v>4.4999999999999999E-4</c:v>
                </c:pt>
                <c:pt idx="73">
                  <c:v>4.4999999999999999E-4</c:v>
                </c:pt>
                <c:pt idx="74">
                  <c:v>4.4999999999999999E-4</c:v>
                </c:pt>
                <c:pt idx="75">
                  <c:v>4.4999999999999999E-4</c:v>
                </c:pt>
                <c:pt idx="76">
                  <c:v>4.4999999999999999E-4</c:v>
                </c:pt>
                <c:pt idx="77">
                  <c:v>4.4999999999999999E-4</c:v>
                </c:pt>
                <c:pt idx="78">
                  <c:v>4.4999999999999999E-4</c:v>
                </c:pt>
                <c:pt idx="79">
                  <c:v>4.4999999999999999E-4</c:v>
                </c:pt>
                <c:pt idx="80">
                  <c:v>4.4999999999999999E-4</c:v>
                </c:pt>
                <c:pt idx="81">
                  <c:v>4.4999999999999999E-4</c:v>
                </c:pt>
                <c:pt idx="82">
                  <c:v>4.4999999999999999E-4</c:v>
                </c:pt>
                <c:pt idx="83">
                  <c:v>4.4999999999999999E-4</c:v>
                </c:pt>
                <c:pt idx="84">
                  <c:v>4.4999999999999999E-4</c:v>
                </c:pt>
                <c:pt idx="85">
                  <c:v>4.4999999999999999E-4</c:v>
                </c:pt>
                <c:pt idx="86">
                  <c:v>4.4999999999999999E-4</c:v>
                </c:pt>
                <c:pt idx="87">
                  <c:v>4.4999999999999999E-4</c:v>
                </c:pt>
                <c:pt idx="88">
                  <c:v>4.4999999999999999E-4</c:v>
                </c:pt>
                <c:pt idx="89">
                  <c:v>4.4999999999999999E-4</c:v>
                </c:pt>
                <c:pt idx="90">
                  <c:v>4.4999999999999999E-4</c:v>
                </c:pt>
                <c:pt idx="91">
                  <c:v>4.4999999999999999E-4</c:v>
                </c:pt>
                <c:pt idx="92">
                  <c:v>4.4999999999999999E-4</c:v>
                </c:pt>
                <c:pt idx="93">
                  <c:v>4.4999999999999999E-4</c:v>
                </c:pt>
                <c:pt idx="94">
                  <c:v>4.4999999999999999E-4</c:v>
                </c:pt>
                <c:pt idx="95">
                  <c:v>4.4999999999999999E-4</c:v>
                </c:pt>
                <c:pt idx="96">
                  <c:v>4.4999999999999999E-4</c:v>
                </c:pt>
                <c:pt idx="97">
                  <c:v>4.4999999999999999E-4</c:v>
                </c:pt>
                <c:pt idx="98">
                  <c:v>4.4999999999999999E-4</c:v>
                </c:pt>
                <c:pt idx="99">
                  <c:v>4.4999999999999999E-4</c:v>
                </c:pt>
                <c:pt idx="100">
                  <c:v>4.4999999999999999E-4</c:v>
                </c:pt>
              </c:numCache>
            </c:numRef>
          </c:xVal>
          <c:yVal>
            <c:numRef>
              <c:f>OptionsPlots!$D$2:$D$102</c:f>
              <c:numCache>
                <c:formatCode>_("$"* #,##0.00_);_("$"* \(#,##0.00\);_("$"* "-"??_);_(@_)</c:formatCode>
                <c:ptCount val="101"/>
                <c:pt idx="0">
                  <c:v>49.116066920378557</c:v>
                </c:pt>
                <c:pt idx="1">
                  <c:v>49.116369920538794</c:v>
                </c:pt>
                <c:pt idx="2">
                  <c:v>49.116672921614771</c:v>
                </c:pt>
                <c:pt idx="3">
                  <c:v>49.11697592360516</c:v>
                </c:pt>
                <c:pt idx="4">
                  <c:v>49.117278926512448</c:v>
                </c:pt>
                <c:pt idx="5">
                  <c:v>49.11758193033512</c:v>
                </c:pt>
                <c:pt idx="6">
                  <c:v>49.117884935073576</c:v>
                </c:pt>
                <c:pt idx="7">
                  <c:v>49.118187940726443</c:v>
                </c:pt>
                <c:pt idx="8">
                  <c:v>49.118490947296159</c:v>
                </c:pt>
                <c:pt idx="9">
                  <c:v>49.118793954781445</c:v>
                </c:pt>
                <c:pt idx="10">
                  <c:v>49.119096963182287</c:v>
                </c:pt>
                <c:pt idx="11">
                  <c:v>49.119399972497526</c:v>
                </c:pt>
                <c:pt idx="12">
                  <c:v>49.119702982729621</c:v>
                </c:pt>
                <c:pt idx="13">
                  <c:v>49.120005993877371</c:v>
                </c:pt>
                <c:pt idx="14">
                  <c:v>49.120309005940818</c:v>
                </c:pt>
                <c:pt idx="15">
                  <c:v>49.120612018918422</c:v>
                </c:pt>
                <c:pt idx="16">
                  <c:v>49.120915032812704</c:v>
                </c:pt>
                <c:pt idx="17">
                  <c:v>49.121218047622683</c:v>
                </c:pt>
                <c:pt idx="18">
                  <c:v>49.121521063348261</c:v>
                </c:pt>
                <c:pt idx="19">
                  <c:v>49.121824079988194</c:v>
                </c:pt>
                <c:pt idx="20">
                  <c:v>49.122127097544976</c:v>
                </c:pt>
                <c:pt idx="21">
                  <c:v>49.122430116017178</c:v>
                </c:pt>
                <c:pt idx="22">
                  <c:v>49.122733135405156</c:v>
                </c:pt>
                <c:pt idx="23">
                  <c:v>49.123036155707311</c:v>
                </c:pt>
                <c:pt idx="24">
                  <c:v>49.12333917692645</c:v>
                </c:pt>
                <c:pt idx="25">
                  <c:v>49.12364219906091</c:v>
                </c:pt>
                <c:pt idx="26">
                  <c:v>49.123945222110876</c:v>
                </c:pt>
                <c:pt idx="27">
                  <c:v>49.124248246075382</c:v>
                </c:pt>
                <c:pt idx="28">
                  <c:v>49.12455127095641</c:v>
                </c:pt>
                <c:pt idx="29">
                  <c:v>49.12485429675327</c:v>
                </c:pt>
                <c:pt idx="30">
                  <c:v>49.125157323465388</c:v>
                </c:pt>
                <c:pt idx="31">
                  <c:v>49.125460351091924</c:v>
                </c:pt>
                <c:pt idx="32">
                  <c:v>49.125763379635288</c:v>
                </c:pt>
                <c:pt idx="33">
                  <c:v>49.126066409094307</c:v>
                </c:pt>
                <c:pt idx="34">
                  <c:v>49.126369439468306</c:v>
                </c:pt>
                <c:pt idx="35">
                  <c:v>49.126672470757029</c:v>
                </c:pt>
                <c:pt idx="36">
                  <c:v>49.12697550296231</c:v>
                </c:pt>
                <c:pt idx="37">
                  <c:v>49.127278536083203</c:v>
                </c:pt>
                <c:pt idx="38">
                  <c:v>49.127581570119588</c:v>
                </c:pt>
                <c:pt idx="39">
                  <c:v>49.127884605070179</c:v>
                </c:pt>
                <c:pt idx="40">
                  <c:v>49.128187640937469</c:v>
                </c:pt>
                <c:pt idx="41">
                  <c:v>49.128490677720556</c:v>
                </c:pt>
                <c:pt idx="42">
                  <c:v>49.128793715418709</c:v>
                </c:pt>
                <c:pt idx="43">
                  <c:v>49.129096754031295</c:v>
                </c:pt>
                <c:pt idx="44">
                  <c:v>49.129399793560644</c:v>
                </c:pt>
                <c:pt idx="45">
                  <c:v>49.129702834005485</c:v>
                </c:pt>
                <c:pt idx="46">
                  <c:v>49.130005875365725</c:v>
                </c:pt>
                <c:pt idx="47">
                  <c:v>49.130308917640228</c:v>
                </c:pt>
                <c:pt idx="48">
                  <c:v>49.130611960831324</c:v>
                </c:pt>
                <c:pt idx="49">
                  <c:v>49.130915004938018</c:v>
                </c:pt>
                <c:pt idx="50">
                  <c:v>49.131218049960161</c:v>
                </c:pt>
                <c:pt idx="51">
                  <c:v>49.13152109589641</c:v>
                </c:pt>
                <c:pt idx="52">
                  <c:v>49.131824142749451</c:v>
                </c:pt>
                <c:pt idx="53">
                  <c:v>49.132127190517814</c:v>
                </c:pt>
                <c:pt idx="54">
                  <c:v>49.132430239201938</c:v>
                </c:pt>
                <c:pt idx="55">
                  <c:v>49.132733288799891</c:v>
                </c:pt>
                <c:pt idx="56">
                  <c:v>49.133036339314721</c:v>
                </c:pt>
                <c:pt idx="57">
                  <c:v>49.133339390744915</c:v>
                </c:pt>
                <c:pt idx="58">
                  <c:v>49.133642443090601</c:v>
                </c:pt>
                <c:pt idx="59">
                  <c:v>49.133945496350577</c:v>
                </c:pt>
                <c:pt idx="60">
                  <c:v>49.134248550526969</c:v>
                </c:pt>
                <c:pt idx="61">
                  <c:v>49.134551605618995</c:v>
                </c:pt>
                <c:pt idx="62">
                  <c:v>49.13485466162642</c:v>
                </c:pt>
                <c:pt idx="63">
                  <c:v>49.135157718547717</c:v>
                </c:pt>
                <c:pt idx="64">
                  <c:v>49.135460776385933</c:v>
                </c:pt>
                <c:pt idx="65">
                  <c:v>49.135763835139556</c:v>
                </c:pt>
                <c:pt idx="66">
                  <c:v>49.136066894808714</c:v>
                </c:pt>
                <c:pt idx="67">
                  <c:v>49.136369955391785</c:v>
                </c:pt>
                <c:pt idx="68">
                  <c:v>49.136673016891223</c:v>
                </c:pt>
                <c:pt idx="69">
                  <c:v>49.136976079306663</c:v>
                </c:pt>
                <c:pt idx="70">
                  <c:v>49.137279142637219</c:v>
                </c:pt>
                <c:pt idx="71">
                  <c:v>49.137582206881781</c:v>
                </c:pt>
                <c:pt idx="72">
                  <c:v>49.137885272043121</c:v>
                </c:pt>
                <c:pt idx="73">
                  <c:v>49.138188338119818</c:v>
                </c:pt>
                <c:pt idx="74">
                  <c:v>49.138491405112092</c:v>
                </c:pt>
                <c:pt idx="75">
                  <c:v>49.138794473018102</c:v>
                </c:pt>
                <c:pt idx="76">
                  <c:v>49.139097541840691</c:v>
                </c:pt>
                <c:pt idx="77">
                  <c:v>49.139400611578964</c:v>
                </c:pt>
                <c:pt idx="78">
                  <c:v>49.139703682232536</c:v>
                </c:pt>
                <c:pt idx="79">
                  <c:v>49.140006753800151</c:v>
                </c:pt>
                <c:pt idx="80">
                  <c:v>49.140309826284316</c:v>
                </c:pt>
                <c:pt idx="81">
                  <c:v>49.14061289968388</c:v>
                </c:pt>
                <c:pt idx="82">
                  <c:v>49.14091597399878</c:v>
                </c:pt>
                <c:pt idx="83">
                  <c:v>49.141219049227871</c:v>
                </c:pt>
                <c:pt idx="84">
                  <c:v>49.141522125373328</c:v>
                </c:pt>
                <c:pt idx="85">
                  <c:v>49.141825202434354</c:v>
                </c:pt>
                <c:pt idx="86">
                  <c:v>49.142128280410446</c:v>
                </c:pt>
                <c:pt idx="87">
                  <c:v>49.142431359301</c:v>
                </c:pt>
                <c:pt idx="88">
                  <c:v>49.142734439107684</c:v>
                </c:pt>
                <c:pt idx="89">
                  <c:v>49.143037519830138</c:v>
                </c:pt>
                <c:pt idx="90">
                  <c:v>49.143340601467642</c:v>
                </c:pt>
                <c:pt idx="91">
                  <c:v>49.143643684019146</c:v>
                </c:pt>
                <c:pt idx="92">
                  <c:v>49.143946767487236</c:v>
                </c:pt>
                <c:pt idx="93">
                  <c:v>49.144249851870811</c:v>
                </c:pt>
                <c:pt idx="94">
                  <c:v>49.144552937169586</c:v>
                </c:pt>
                <c:pt idx="95">
                  <c:v>49.144856023382403</c:v>
                </c:pt>
                <c:pt idx="96">
                  <c:v>49.145159110511578</c:v>
                </c:pt>
                <c:pt idx="97">
                  <c:v>49.145462198556231</c:v>
                </c:pt>
                <c:pt idx="98">
                  <c:v>49.145765287516035</c:v>
                </c:pt>
                <c:pt idx="99">
                  <c:v>49.146068377389931</c:v>
                </c:pt>
                <c:pt idx="100">
                  <c:v>49.146371468180448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2B-42EF-9099-0197433811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42927"/>
        <c:axId val="331938351"/>
      </c:scatterChart>
      <c:valAx>
        <c:axId val="331942927"/>
        <c:scaling>
          <c:orientation val="maxMin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risk-free rate (EAR)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.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38351"/>
        <c:crosses val="autoZero"/>
        <c:crossBetween val="midCat"/>
      </c:valAx>
      <c:valAx>
        <c:axId val="331938351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Option price</a:t>
                </a:r>
                <a:r>
                  <a:rPr lang="es-MX" sz="800" baseline="0">
                    <a:latin typeface="Segoe UI" panose="020B0502040204020203" pitchFamily="34" charset="0"/>
                    <a:cs typeface="Segoe UI" panose="020B0502040204020203" pitchFamily="34" charset="0"/>
                  </a:rPr>
                  <a:t> ($)</a:t>
                </a:r>
                <a:endParaRPr lang="es-MX" sz="800"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layout>
            <c:manualLayout>
              <c:xMode val="edge"/>
              <c:yMode val="edge"/>
              <c:x val="7.479002624671916E-3"/>
              <c:y val="0.113965345039834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331942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797933070866144"/>
          <c:y val="0.86653078763384661"/>
          <c:w val="0.62042650918635167"/>
          <c:h val="0.12500087489063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52958721068957"/>
          <c:y val="9.0311986863711002E-2"/>
          <c:w val="0.80235425117314874"/>
          <c:h val="0.65645889091449772"/>
        </c:manualLayout>
      </c:layout>
      <c:scatterChart>
        <c:scatterStyle val="lineMarker"/>
        <c:varyColors val="0"/>
        <c:ser>
          <c:idx val="0"/>
          <c:order val="0"/>
          <c:tx>
            <c:v>Calls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'YF Calls'!$C$2:$C$1000</c:f>
              <c:numCache>
                <c:formatCode>General</c:formatCode>
                <c:ptCount val="999"/>
                <c:pt idx="0">
                  <c:v>12.5</c:v>
                </c:pt>
                <c:pt idx="1">
                  <c:v>15</c:v>
                </c:pt>
                <c:pt idx="2">
                  <c:v>10</c:v>
                </c:pt>
                <c:pt idx="3">
                  <c:v>7.5</c:v>
                </c:pt>
                <c:pt idx="4">
                  <c:v>5</c:v>
                </c:pt>
                <c:pt idx="5">
                  <c:v>20</c:v>
                </c:pt>
                <c:pt idx="6">
                  <c:v>17.5</c:v>
                </c:pt>
                <c:pt idx="7">
                  <c:v>2.5</c:v>
                </c:pt>
              </c:numCache>
            </c:numRef>
          </c:xVal>
          <c:yVal>
            <c:numRef>
              <c:f>'YF Calls'!$K$2:$K$1000</c:f>
              <c:numCache>
                <c:formatCode>General</c:formatCode>
                <c:ptCount val="999"/>
                <c:pt idx="0">
                  <c:v>0.5625</c:v>
                </c:pt>
                <c:pt idx="1">
                  <c:v>0.78129999999999999</c:v>
                </c:pt>
                <c:pt idx="2">
                  <c:v>0.9375</c:v>
                </c:pt>
                <c:pt idx="3">
                  <c:v>0</c:v>
                </c:pt>
                <c:pt idx="4">
                  <c:v>7.5312999999999999</c:v>
                </c:pt>
                <c:pt idx="5">
                  <c:v>0.5</c:v>
                </c:pt>
                <c:pt idx="6">
                  <c:v>1.5468999999999999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30-4A2A-8AD3-EF7E42524F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543632"/>
        <c:axId val="807544464"/>
      </c:scatterChart>
      <c:valAx>
        <c:axId val="80754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Strike ($)</a:t>
                </a:r>
              </a:p>
            </c:rich>
          </c:tx>
          <c:layout>
            <c:manualLayout>
              <c:xMode val="edge"/>
              <c:yMode val="edge"/>
              <c:x val="0.47840759961822948"/>
              <c:y val="0.8715514009024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4464"/>
        <c:crosses val="autoZero"/>
        <c:crossBetween val="midCat"/>
      </c:valAx>
      <c:valAx>
        <c:axId val="8075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Implied volatility (%)</a:t>
                </a:r>
              </a:p>
            </c:rich>
          </c:tx>
          <c:layout>
            <c:manualLayout>
              <c:xMode val="edge"/>
              <c:yMode val="edge"/>
              <c:x val="9.46969696969697E-3"/>
              <c:y val="0.12531450810028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115584983695219"/>
          <c:y val="9.0311986863711002E-2"/>
          <c:w val="0.78972798854688619"/>
          <c:h val="0.65645889091449772"/>
        </c:manualLayout>
      </c:layout>
      <c:scatterChart>
        <c:scatterStyle val="lineMarker"/>
        <c:varyColors val="0"/>
        <c:ser>
          <c:idx val="0"/>
          <c:order val="0"/>
          <c:tx>
            <c:v>Puts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'YF Puts'!$C$2:$C$1000</c:f>
              <c:numCache>
                <c:formatCode>General</c:formatCode>
                <c:ptCount val="999"/>
                <c:pt idx="0">
                  <c:v>7.5</c:v>
                </c:pt>
                <c:pt idx="1">
                  <c:v>10</c:v>
                </c:pt>
                <c:pt idx="2">
                  <c:v>15</c:v>
                </c:pt>
                <c:pt idx="3">
                  <c:v>12.5</c:v>
                </c:pt>
                <c:pt idx="4">
                  <c:v>5</c:v>
                </c:pt>
                <c:pt idx="5">
                  <c:v>20</c:v>
                </c:pt>
                <c:pt idx="6">
                  <c:v>17.5</c:v>
                </c:pt>
              </c:numCache>
            </c:numRef>
          </c:xVal>
          <c:yVal>
            <c:numRef>
              <c:f>'YF Puts'!$K$2:$K$1000</c:f>
              <c:numCache>
                <c:formatCode>General</c:formatCode>
                <c:ptCount val="999"/>
                <c:pt idx="0">
                  <c:v>2.6562999999999999</c:v>
                </c:pt>
                <c:pt idx="1">
                  <c:v>1.4063000000000001</c:v>
                </c:pt>
                <c:pt idx="2">
                  <c:v>1.9922</c:v>
                </c:pt>
                <c:pt idx="3">
                  <c:v>0.50390000000000001</c:v>
                </c:pt>
                <c:pt idx="4">
                  <c:v>3.875</c:v>
                </c:pt>
                <c:pt idx="5">
                  <c:v>10.0566</c:v>
                </c:pt>
                <c:pt idx="6">
                  <c:v>4.0117000000000003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A5-4F2A-91D3-6361A0652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543632"/>
        <c:axId val="807544464"/>
      </c:scatterChart>
      <c:valAx>
        <c:axId val="807543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Strike ($)</a:t>
                </a:r>
              </a:p>
            </c:rich>
          </c:tx>
          <c:layout>
            <c:manualLayout>
              <c:xMode val="edge"/>
              <c:yMode val="edge"/>
              <c:x val="0.47840759961822948"/>
              <c:y val="0.871551400902473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4464"/>
        <c:crosses val="autoZero"/>
        <c:crossBetween val="midCat"/>
      </c:valAx>
      <c:valAx>
        <c:axId val="807544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 sz="800">
                    <a:latin typeface="Segoe UI" panose="020B0502040204020203" pitchFamily="34" charset="0"/>
                    <a:cs typeface="Segoe UI" panose="020B0502040204020203" pitchFamily="34" charset="0"/>
                  </a:rPr>
                  <a:t>Implied volatility (%)</a:t>
                </a:r>
              </a:p>
            </c:rich>
          </c:tx>
          <c:layout>
            <c:manualLayout>
              <c:xMode val="edge"/>
              <c:yMode val="edge"/>
              <c:x val="9.46969696969697E-3"/>
              <c:y val="0.125314508100280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07543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0</xdr:colOff>
      <xdr:row>13</xdr:row>
      <xdr:rowOff>0</xdr:rowOff>
    </xdr:from>
    <xdr:to>
      <xdr:col>109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CA29A8-942F-48D0-B33B-A4AC5DCD48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0</xdr:rowOff>
    </xdr:from>
    <xdr:to>
      <xdr:col>37</xdr:col>
      <xdr:colOff>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F306219-57A5-465D-B378-6152CB807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0</xdr:colOff>
      <xdr:row>36</xdr:row>
      <xdr:rowOff>0</xdr:rowOff>
    </xdr:from>
    <xdr:to>
      <xdr:col>47</xdr:col>
      <xdr:colOff>0</xdr:colOff>
      <xdr:row>45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0830942-2CB0-4AF7-8D86-435C0FA08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47</xdr:col>
      <xdr:colOff>0</xdr:colOff>
      <xdr:row>36</xdr:row>
      <xdr:rowOff>0</xdr:rowOff>
    </xdr:from>
    <xdr:to>
      <xdr:col>71</xdr:col>
      <xdr:colOff>22860</xdr:colOff>
      <xdr:row>45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067CC74-1889-4F34-A1B0-A32AE662A3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75</xdr:col>
      <xdr:colOff>0</xdr:colOff>
      <xdr:row>28</xdr:row>
      <xdr:rowOff>0</xdr:rowOff>
    </xdr:from>
    <xdr:to>
      <xdr:col>108</xdr:col>
      <xdr:colOff>0</xdr:colOff>
      <xdr:row>36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B6BB7A-F417-4C96-AFED-C728EDB725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75</xdr:col>
      <xdr:colOff>0</xdr:colOff>
      <xdr:row>37</xdr:row>
      <xdr:rowOff>0</xdr:rowOff>
    </xdr:from>
    <xdr:to>
      <xdr:col>108</xdr:col>
      <xdr:colOff>0</xdr:colOff>
      <xdr:row>45</xdr:row>
      <xdr:rowOff>22860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05CF1E7-A552-46AE-A873-9914D99AAF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21BFB681-09B1-4CD2-B62F-49DB286260B5}" autoFormatId="16" applyNumberFormats="0" applyBorderFormats="0" applyFontFormats="0" applyPatternFormats="0" applyAlignmentFormats="0" applyWidthHeightFormats="0">
  <queryTableRefresh nextId="2">
    <queryTableFields count="1">
      <queryTableField id="1" name="Symbol (ref)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5D0876FD-5E08-4106-B50B-CAA3392CFDFF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8" xr16:uid="{B5DFC0E8-7BA2-4872-ABA4-9E6462723A27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1"/>
      <queryTableField id="2" name="Column2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6" xr16:uid="{F6C0A008-D3F5-4C14-A4F4-1D7FEE68DB69}" autoFormatId="16" applyNumberFormats="0" applyBorderFormats="0" applyFontFormats="0" applyPatternFormats="0" applyAlignmentFormats="0" applyWidthHeightFormats="0">
  <queryTableRefresh nextId="8">
    <queryTableFields count="7">
      <queryTableField id="1" name="Date" tableColumnId="1"/>
      <queryTableField id="2" name="Open" tableColumnId="2"/>
      <queryTableField id="3" name="High" tableColumnId="3"/>
      <queryTableField id="4" name="Low" tableColumnId="4"/>
      <queryTableField id="5" name="Close*" tableColumnId="5"/>
      <queryTableField id="6" name="Adj Close**" tableColumnId="6"/>
      <queryTableField id="7" name="Volume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4" xr16:uid="{570E24F3-AFF8-445D-B731-E4CEFE9C025A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freshOnLoad="1" connectionId="5" xr16:uid="{B0BAA4B2-906D-4D45-A31D-2CF8BBB62BE1}" autoFormatId="16" applyNumberFormats="0" applyBorderFormats="0" applyFontFormats="0" applyPatternFormats="0" applyAlignmentFormats="0" applyWidthHeightFormats="0">
  <queryTableRefresh nextId="12">
    <queryTableFields count="11">
      <queryTableField id="1" name="Contract Name" tableColumnId="1"/>
      <queryTableField id="2" name="Last Trade Date" tableColumnId="2"/>
      <queryTableField id="3" name="Strike" tableColumnId="3"/>
      <queryTableField id="4" name="Last Price" tableColumnId="4"/>
      <queryTableField id="5" name="Bid" tableColumnId="5"/>
      <queryTableField id="6" name="Ask" tableColumnId="6"/>
      <queryTableField id="7" name="Change" tableColumnId="7"/>
      <queryTableField id="8" name="% Change" tableColumnId="8"/>
      <queryTableField id="9" name="Volume" tableColumnId="9"/>
      <queryTableField id="10" name="Open Interest" tableColumnId="10"/>
      <queryTableField id="11" name="Implied Volatility" tableColumnId="1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C52C9604-DEC7-4EF4-8334-F8C068BDAA0F}" autoFormatId="16" applyNumberFormats="0" applyBorderFormats="0" applyFontFormats="0" applyPatternFormats="0" applyAlignmentFormats="0" applyWidthHeightFormats="0">
  <queryTableRefresh nextId="6">
    <queryTableFields count="5">
      <queryTableField id="1" name="Last 5 Days" tableColumnId="1"/>
      <queryTableField id="2" name="OPEN" tableColumnId="2"/>
      <queryTableField id="3" name="HIGH" tableColumnId="3"/>
      <queryTableField id="4" name="LOW" tableColumnId="4"/>
      <queryTableField id="5" name="CLOS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99D5D13-FA5A-495A-A429-6AC41E116B0B}" name="Symbol__ref" displayName="Symbol__ref" ref="A1:A2" tableType="queryTable" totalsRowShown="0">
  <autoFilter ref="A1:A2" xr:uid="{D6207587-15EE-4A7A-9A47-381892386415}"/>
  <tableColumns count="1">
    <tableColumn id="1" xr3:uid="{6027608F-AF7D-4A4B-B5A5-1C6E3002F9DD}" uniqueName="1" name="Symbol (ref)" queryTableFieldId="1" dataDxfId="2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7C7FF3B-88C8-4F0C-B611-F300EF8C10D8}" name="YF_Summary_A" displayName="YF_Summary_A" ref="A1:B9" tableType="queryTable" totalsRowShown="0">
  <autoFilter ref="A1:B9" xr:uid="{DA82FD2F-C614-44AC-A3E9-FD8522468B02}"/>
  <tableColumns count="2">
    <tableColumn id="1" xr3:uid="{1FDAD597-7873-427D-855D-6241CE9A2401}" uniqueName="1" name="Column1" queryTableFieldId="1" dataDxfId="19"/>
    <tableColumn id="2" xr3:uid="{DC1665A4-8B3F-469A-9056-5658704E0111}" uniqueName="2" name="Column2" queryTableFieldId="2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9360A4C-8082-4E1E-A59A-2E5FB7C63B82}" name="YF_Summary_B" displayName="YF_Summary_B" ref="A1:B9" tableType="queryTable" totalsRowShown="0">
  <autoFilter ref="A1:B9" xr:uid="{A58FB6AF-9F90-4DC2-9561-CB3E2A2E64DB}"/>
  <tableColumns count="2">
    <tableColumn id="1" xr3:uid="{124B7A43-0C70-4BEA-90DD-15C9BA1A2965}" uniqueName="1" name="Column1" queryTableFieldId="1" dataDxfId="17"/>
    <tableColumn id="2" xr3:uid="{73000842-6C72-4697-98A4-250704C9D708}" uniqueName="2" name="Column2" queryTableFieldId="2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926278E-99F6-4DEA-9A95-8673FD07BBD0}" name="YF_Spot" displayName="YF_Spot" ref="A1:G99" tableType="queryTable" totalsRowShown="0">
  <autoFilter ref="A1:G99" xr:uid="{D201459A-1084-4CE6-99BE-6FF3D5D67FF1}"/>
  <tableColumns count="7">
    <tableColumn id="1" xr3:uid="{44E15E25-55A4-4D8E-9FFF-6A9A6C19A32D}" uniqueName="1" name="Date" queryTableFieldId="1" dataDxfId="6"/>
    <tableColumn id="2" xr3:uid="{C6837D4F-5A0C-481B-876A-11B2EA41665B}" uniqueName="2" name="Open" queryTableFieldId="2" dataDxfId="5"/>
    <tableColumn id="3" xr3:uid="{6D4AA061-87FD-4E5E-8642-E8B6BBA14774}" uniqueName="3" name="High" queryTableFieldId="3" dataDxfId="4"/>
    <tableColumn id="4" xr3:uid="{EBD8EC78-CBE1-46D5-92DB-B318E0DCFD5F}" uniqueName="4" name="Low" queryTableFieldId="4" dataDxfId="3"/>
    <tableColumn id="5" xr3:uid="{425334AD-CAF4-4367-9529-868B99045149}" uniqueName="5" name="Close*" queryTableFieldId="5" dataDxfId="2"/>
    <tableColumn id="6" xr3:uid="{55C1BB61-BDC5-41FF-ADF7-69E5EA04B93D}" uniqueName="6" name="Adj Close**" queryTableFieldId="6" dataDxfId="1"/>
    <tableColumn id="7" xr3:uid="{2A8E416B-0B01-4E4F-A17C-DAC24EC85FF7}" uniqueName="7" name="Volume" queryTableFieldId="7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FFAD70A-43A3-415F-A436-CB2813D7EE6C}" name="YF_Calls" displayName="YF_Calls" ref="A1:K9" tableType="queryTable" totalsRowShown="0">
  <autoFilter ref="A1:K9" xr:uid="{92884ECB-DFFC-4D0D-A7EB-247D9CA97962}"/>
  <tableColumns count="11">
    <tableColumn id="1" xr3:uid="{240CB158-7F4A-456A-B9D1-3350018BF32F}" uniqueName="1" name="Contract Name" queryTableFieldId="1" dataDxfId="14"/>
    <tableColumn id="2" xr3:uid="{F56A718A-A5E0-4434-B24E-A87A4F804AF7}" uniqueName="2" name="Last Trade Date" queryTableFieldId="2" dataDxfId="13"/>
    <tableColumn id="3" xr3:uid="{C0997390-11CD-41BA-96C2-FDBD51E68857}" uniqueName="3" name="Strike" queryTableFieldId="3"/>
    <tableColumn id="4" xr3:uid="{0E423A31-36F7-437F-A248-426774374C2F}" uniqueName="4" name="Last Price" queryTableFieldId="4"/>
    <tableColumn id="5" xr3:uid="{2B18A98E-D07D-4E83-A7C6-F0908CC8B1EA}" uniqueName="5" name="Bid" queryTableFieldId="5"/>
    <tableColumn id="6" xr3:uid="{A7067FB1-CAA0-4CB8-A49D-9387BF68B75A}" uniqueName="6" name="Ask" queryTableFieldId="6"/>
    <tableColumn id="7" xr3:uid="{AAC0EA32-20C5-40AF-9432-6DAA631AC19D}" uniqueName="7" name="Change" queryTableFieldId="7"/>
    <tableColumn id="8" xr3:uid="{D1D248FE-88FB-4CB8-8262-E2AE807E0378}" uniqueName="8" name="% Change" queryTableFieldId="8" dataDxfId="12"/>
    <tableColumn id="9" xr3:uid="{72D7F43F-D7D1-49AA-801B-3E22E00E4790}" uniqueName="9" name="Volume" queryTableFieldId="9" dataDxfId="11"/>
    <tableColumn id="10" xr3:uid="{C872A919-AEF0-44B2-8FB8-11C7CD72AE8D}" uniqueName="10" name="Open Interest" queryTableFieldId="10"/>
    <tableColumn id="11" xr3:uid="{DD753E89-E5A2-40EE-8CF0-0B89C4590529}" uniqueName="11" name="Implied Volatility" queryTableFieldId="1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5F15AC8-0255-43DC-BBE3-98B76A7D04A1}" name="YF_Puts" displayName="YF_Puts" ref="A1:K8" tableType="queryTable" totalsRowShown="0">
  <autoFilter ref="A1:K8" xr:uid="{EB96A17F-790C-4053-A551-61FB2FFA13E3}"/>
  <tableColumns count="11">
    <tableColumn id="1" xr3:uid="{47265513-0ABA-445C-B1F0-1982C62F7E39}" uniqueName="1" name="Contract Name" queryTableFieldId="1" dataDxfId="10"/>
    <tableColumn id="2" xr3:uid="{4587CB51-543A-40EF-BED0-0C6E7E451B47}" uniqueName="2" name="Last Trade Date" queryTableFieldId="2" dataDxfId="9"/>
    <tableColumn id="3" xr3:uid="{D574020C-21F2-4CE8-8003-A50A9FF4940C}" uniqueName="3" name="Strike" queryTableFieldId="3"/>
    <tableColumn id="4" xr3:uid="{BEDFFEA1-55D2-40A2-A70E-95255C0ED190}" uniqueName="4" name="Last Price" queryTableFieldId="4"/>
    <tableColumn id="5" xr3:uid="{2206A1EA-E491-4B08-B4F9-0476A006FA99}" uniqueName="5" name="Bid" queryTableFieldId="5"/>
    <tableColumn id="6" xr3:uid="{203E7D33-A109-42F0-B036-2DD98F1049CB}" uniqueName="6" name="Ask" queryTableFieldId="6"/>
    <tableColumn id="7" xr3:uid="{D6157453-1B06-4429-833E-44E6F6E850CB}" uniqueName="7" name="Change" queryTableFieldId="7"/>
    <tableColumn id="8" xr3:uid="{3C26C397-A3A9-4C6C-B1F5-565550D88599}" uniqueName="8" name="% Change" queryTableFieldId="8" dataDxfId="8"/>
    <tableColumn id="9" xr3:uid="{0EBC5497-8BA9-4630-ABD8-158C697889C0}" uniqueName="9" name="Volume" queryTableFieldId="9" dataDxfId="7"/>
    <tableColumn id="10" xr3:uid="{9EEED748-4C8C-4F67-8796-F06930505607}" uniqueName="10" name="Open Interest" queryTableFieldId="10"/>
    <tableColumn id="11" xr3:uid="{38574C09-EAFF-4F04-BF7B-622B2926B952}" uniqueName="11" name="Implied Volatility" queryTableFieldId="11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828D442-DEA6-489F-99B9-0D18BCE35913}" name="T_Bills_3M" displayName="T_Bills_3M" ref="A1:E6" tableType="queryTable" totalsRowShown="0">
  <autoFilter ref="A1:E6" xr:uid="{064A4B16-8838-4BB4-B22A-93573DFB0F68}"/>
  <tableColumns count="5">
    <tableColumn id="1" xr3:uid="{545F1A0B-60AB-4028-9B8F-EAE8C5CE4745}" uniqueName="1" name="Last 5 Days" queryTableFieldId="1" dataDxfId="15"/>
    <tableColumn id="2" xr3:uid="{4D34DB34-D35A-42D4-AF94-DAB2386B4254}" uniqueName="2" name="OPEN" queryTableFieldId="2"/>
    <tableColumn id="3" xr3:uid="{3CD86C5C-C79F-4C08-A9EE-54523138EA22}" uniqueName="3" name="HIGH" queryTableFieldId="3"/>
    <tableColumn id="4" xr3:uid="{9B2643D8-80CA-427E-B46F-16662A46664C}" uniqueName="4" name="LOW" queryTableFieldId="4"/>
    <tableColumn id="5" xr3:uid="{76264B28-3ADB-4E40-86B4-C41508FA2843}" uniqueName="5" name="CLOSE" queryTableField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5A902-72CA-470B-996D-ACE4BB402FE0}">
  <sheetPr codeName="Sheet1"/>
  <dimension ref="B1:DI149"/>
  <sheetViews>
    <sheetView showGridLines="0" tabSelected="1" zoomScaleNormal="100" workbookViewId="0">
      <selection activeCell="K8" sqref="K8:Q8"/>
    </sheetView>
  </sheetViews>
  <sheetFormatPr defaultRowHeight="15" x14ac:dyDescent="0.35"/>
  <cols>
    <col min="1" max="58" width="1.77734375" style="7" customWidth="1"/>
    <col min="59" max="71" width="1.88671875" style="7" customWidth="1"/>
    <col min="72" max="182" width="1.77734375" style="7" customWidth="1"/>
    <col min="183" max="16384" width="8.88671875" style="7"/>
  </cols>
  <sheetData>
    <row r="1" spans="2:109" ht="15.6" thickBot="1" x14ac:dyDescent="0.4"/>
    <row r="2" spans="2:109" ht="43.2" customHeight="1" thickBot="1" x14ac:dyDescent="0.4">
      <c r="B2" s="20"/>
      <c r="C2" s="87" t="s">
        <v>85</v>
      </c>
      <c r="D2" s="87"/>
      <c r="E2" s="87"/>
      <c r="F2" s="87"/>
      <c r="G2" s="87"/>
      <c r="H2" s="87"/>
      <c r="I2" s="97" t="str">
        <f>Symbol__ref[[#This Row],[Symbol (ref)]]</f>
        <v>ARI</v>
      </c>
      <c r="J2" s="97"/>
      <c r="K2" s="97"/>
      <c r="L2" s="97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1"/>
      <c r="Z2" s="21"/>
      <c r="AA2" s="21"/>
      <c r="AB2" s="21"/>
      <c r="AC2" s="21"/>
      <c r="AD2" s="87" t="s">
        <v>97</v>
      </c>
      <c r="AE2" s="87"/>
      <c r="AF2" s="87"/>
      <c r="AG2" s="87"/>
      <c r="AH2" s="87"/>
      <c r="AI2" s="87"/>
      <c r="AJ2" s="87"/>
      <c r="AK2" s="88">
        <f>MAX(YF_Spot[[#All],[Date]])</f>
        <v>44239</v>
      </c>
      <c r="AL2" s="88"/>
      <c r="AM2" s="88"/>
      <c r="AN2" s="88"/>
      <c r="AO2" s="88"/>
      <c r="AP2" s="88"/>
      <c r="AQ2" s="88"/>
      <c r="AR2" s="22"/>
      <c r="AS2" s="21"/>
      <c r="AT2" s="21"/>
      <c r="AU2" s="21"/>
      <c r="AV2" s="21"/>
      <c r="AW2" s="21"/>
      <c r="AX2" s="21"/>
      <c r="AY2" s="21"/>
      <c r="AZ2" s="21"/>
      <c r="BA2" s="21"/>
      <c r="BB2" s="21"/>
      <c r="BC2" s="21"/>
      <c r="BD2" s="21"/>
      <c r="BE2" s="21"/>
      <c r="BF2" s="21"/>
      <c r="BG2" s="21"/>
      <c r="BH2" s="21"/>
      <c r="BI2" s="87" t="s">
        <v>114</v>
      </c>
      <c r="BJ2" s="87"/>
      <c r="BK2" s="87"/>
      <c r="BL2" s="87"/>
      <c r="BM2" s="87"/>
      <c r="BN2" s="87"/>
      <c r="BO2" s="87"/>
      <c r="BP2" s="88" t="str">
        <f>'YF Summary B'!B6</f>
        <v>May 05, 2021 - May 10, 2021</v>
      </c>
      <c r="BQ2" s="88"/>
      <c r="BR2" s="88"/>
      <c r="BS2" s="88"/>
      <c r="BT2" s="88"/>
      <c r="BU2" s="88"/>
      <c r="BV2" s="88"/>
      <c r="BW2" s="88"/>
      <c r="BX2" s="88"/>
      <c r="BY2" s="88"/>
      <c r="BZ2" s="88"/>
      <c r="CA2" s="88"/>
      <c r="CB2" s="88"/>
      <c r="CC2" s="88"/>
      <c r="CD2" s="88"/>
      <c r="CE2" s="88"/>
      <c r="CF2" s="88"/>
      <c r="CG2" s="21"/>
      <c r="CH2" s="21"/>
      <c r="CI2" s="21"/>
      <c r="CJ2" s="21"/>
      <c r="CK2" s="21"/>
      <c r="CL2" s="23"/>
      <c r="CM2" s="23"/>
      <c r="CN2" s="23"/>
      <c r="CO2" s="23"/>
      <c r="CP2" s="21"/>
      <c r="CQ2" s="21"/>
      <c r="CR2" s="21"/>
      <c r="CS2" s="87" t="s">
        <v>88</v>
      </c>
      <c r="CT2" s="87"/>
      <c r="CU2" s="87"/>
      <c r="CV2" s="87"/>
      <c r="CW2" s="87"/>
      <c r="CX2" s="87"/>
      <c r="CY2" s="92">
        <f>VLOOKUP(AK2,YF_Spot[#All],5,FALSE)</f>
        <v>12.87</v>
      </c>
      <c r="CZ2" s="92"/>
      <c r="DA2" s="92"/>
      <c r="DB2" s="92"/>
      <c r="DC2" s="92"/>
      <c r="DD2" s="92"/>
      <c r="DE2" s="24"/>
    </row>
    <row r="3" spans="2:109" x14ac:dyDescent="0.35">
      <c r="B3" s="3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25"/>
      <c r="AL3" s="27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28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5"/>
    </row>
    <row r="4" spans="2:109" x14ac:dyDescent="0.35">
      <c r="B4" s="6"/>
      <c r="D4" s="91" t="s">
        <v>123</v>
      </c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1"/>
      <c r="W4" s="91"/>
      <c r="X4" s="91"/>
      <c r="Y4" s="91"/>
      <c r="Z4" s="91"/>
      <c r="AA4" s="91"/>
      <c r="AB4" s="91"/>
      <c r="AC4" s="91"/>
      <c r="AD4" s="91"/>
      <c r="AE4" s="91"/>
      <c r="AF4" s="91"/>
      <c r="AG4" s="91"/>
      <c r="AH4" s="91"/>
      <c r="AI4" s="91"/>
      <c r="AK4" s="26"/>
      <c r="AL4" s="29"/>
      <c r="AN4" s="91" t="s">
        <v>141</v>
      </c>
      <c r="AO4" s="91"/>
      <c r="AP4" s="91"/>
      <c r="AQ4" s="91"/>
      <c r="AR4" s="91"/>
      <c r="AS4" s="91"/>
      <c r="AT4" s="91"/>
      <c r="AU4" s="91"/>
      <c r="AV4" s="91"/>
      <c r="AW4" s="91"/>
      <c r="AX4" s="91"/>
      <c r="AY4" s="91"/>
      <c r="AZ4" s="91"/>
      <c r="BA4" s="91"/>
      <c r="BB4" s="91"/>
      <c r="BC4" s="91"/>
      <c r="BD4" s="91"/>
      <c r="BE4" s="91"/>
      <c r="BF4" s="91"/>
      <c r="BG4" s="91"/>
      <c r="BH4" s="91"/>
      <c r="BI4" s="91"/>
      <c r="BJ4" s="91"/>
      <c r="BK4" s="91"/>
      <c r="BL4" s="91"/>
      <c r="BM4" s="91"/>
      <c r="BN4" s="91"/>
      <c r="BO4" s="91"/>
      <c r="BP4" s="91"/>
      <c r="BQ4" s="91"/>
      <c r="BR4" s="91"/>
      <c r="BS4" s="91"/>
      <c r="BU4" s="30"/>
      <c r="BX4" s="91" t="s">
        <v>89</v>
      </c>
      <c r="BY4" s="91"/>
      <c r="BZ4" s="91"/>
      <c r="CA4" s="91"/>
      <c r="CB4" s="91"/>
      <c r="CC4" s="91"/>
      <c r="CD4" s="91"/>
      <c r="CE4" s="91"/>
      <c r="CF4" s="91"/>
      <c r="CG4" s="91"/>
      <c r="CH4" s="91"/>
      <c r="CI4" s="91"/>
      <c r="CJ4" s="91"/>
      <c r="CK4" s="91"/>
      <c r="CL4" s="91"/>
      <c r="CM4" s="91"/>
      <c r="CN4" s="91"/>
      <c r="CO4" s="91"/>
      <c r="CP4" s="91"/>
      <c r="CQ4" s="91"/>
      <c r="CR4" s="91"/>
      <c r="CS4" s="91"/>
      <c r="CT4" s="91"/>
      <c r="CU4" s="91"/>
      <c r="CV4" s="91"/>
      <c r="CW4" s="91"/>
      <c r="CX4" s="91"/>
      <c r="CY4" s="91"/>
      <c r="CZ4" s="91"/>
      <c r="DA4" s="91"/>
      <c r="DB4" s="91"/>
      <c r="DC4" s="91"/>
      <c r="DE4" s="8"/>
    </row>
    <row r="5" spans="2:109" x14ac:dyDescent="0.35">
      <c r="B5" s="6"/>
      <c r="D5" s="91"/>
      <c r="E5" s="91"/>
      <c r="F5" s="91"/>
      <c r="G5" s="91"/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  <c r="AC5" s="91"/>
      <c r="AD5" s="91"/>
      <c r="AE5" s="91"/>
      <c r="AF5" s="91"/>
      <c r="AG5" s="91"/>
      <c r="AH5" s="91"/>
      <c r="AI5" s="91"/>
      <c r="AK5" s="26"/>
      <c r="AL5" s="29"/>
      <c r="AN5" s="91"/>
      <c r="AO5" s="91"/>
      <c r="AP5" s="91"/>
      <c r="AQ5" s="91"/>
      <c r="AR5" s="91"/>
      <c r="AS5" s="91"/>
      <c r="AT5" s="91"/>
      <c r="AU5" s="91"/>
      <c r="AV5" s="91"/>
      <c r="AW5" s="91"/>
      <c r="AX5" s="91"/>
      <c r="AY5" s="91"/>
      <c r="AZ5" s="91"/>
      <c r="BA5" s="91"/>
      <c r="BB5" s="91"/>
      <c r="BC5" s="91"/>
      <c r="BD5" s="91"/>
      <c r="BE5" s="91"/>
      <c r="BF5" s="91"/>
      <c r="BG5" s="91"/>
      <c r="BH5" s="91"/>
      <c r="BI5" s="91"/>
      <c r="BJ5" s="91"/>
      <c r="BK5" s="91"/>
      <c r="BL5" s="91"/>
      <c r="BM5" s="91"/>
      <c r="BN5" s="91"/>
      <c r="BO5" s="91"/>
      <c r="BP5" s="91"/>
      <c r="BQ5" s="91"/>
      <c r="BR5" s="91"/>
      <c r="BS5" s="91"/>
      <c r="BU5" s="30"/>
      <c r="BX5" s="91"/>
      <c r="BY5" s="91"/>
      <c r="BZ5" s="91"/>
      <c r="CA5" s="91"/>
      <c r="CB5" s="91"/>
      <c r="CC5" s="91"/>
      <c r="CD5" s="91"/>
      <c r="CE5" s="91"/>
      <c r="CF5" s="91"/>
      <c r="CG5" s="91"/>
      <c r="CH5" s="91"/>
      <c r="CI5" s="91"/>
      <c r="CJ5" s="91"/>
      <c r="CK5" s="91"/>
      <c r="CL5" s="91"/>
      <c r="CM5" s="91"/>
      <c r="CN5" s="91"/>
      <c r="CO5" s="91"/>
      <c r="CP5" s="91"/>
      <c r="CQ5" s="91"/>
      <c r="CR5" s="91"/>
      <c r="CS5" s="91"/>
      <c r="CT5" s="91"/>
      <c r="CU5" s="91"/>
      <c r="CV5" s="91"/>
      <c r="CW5" s="91"/>
      <c r="CX5" s="91"/>
      <c r="CY5" s="91"/>
      <c r="CZ5" s="91"/>
      <c r="DA5" s="91"/>
      <c r="DB5" s="91"/>
      <c r="DC5" s="91"/>
      <c r="DE5" s="8"/>
    </row>
    <row r="6" spans="2:109" x14ac:dyDescent="0.35">
      <c r="B6" s="34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6"/>
      <c r="AL6" s="37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8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9"/>
    </row>
    <row r="7" spans="2:109" x14ac:dyDescent="0.35">
      <c r="B7" s="34"/>
      <c r="C7" s="35"/>
      <c r="D7" s="83" t="s">
        <v>93</v>
      </c>
      <c r="E7" s="83"/>
      <c r="F7" s="83"/>
      <c r="G7" s="83"/>
      <c r="H7" s="83"/>
      <c r="I7" s="83"/>
      <c r="J7" s="83"/>
      <c r="K7" s="80" t="s">
        <v>103</v>
      </c>
      <c r="L7" s="80"/>
      <c r="M7" s="80"/>
      <c r="N7" s="80"/>
      <c r="O7" s="80"/>
      <c r="P7" s="80"/>
      <c r="Q7" s="80"/>
      <c r="R7" s="35"/>
      <c r="S7" s="35"/>
      <c r="T7" s="35"/>
      <c r="U7" s="83" t="s">
        <v>99</v>
      </c>
      <c r="V7" s="83"/>
      <c r="W7" s="83"/>
      <c r="X7" s="83"/>
      <c r="Y7" s="83"/>
      <c r="Z7" s="83"/>
      <c r="AA7" s="83"/>
      <c r="AB7" s="90">
        <f>CY2</f>
        <v>12.87</v>
      </c>
      <c r="AC7" s="90"/>
      <c r="AD7" s="90"/>
      <c r="AE7" s="90"/>
      <c r="AF7" s="90"/>
      <c r="AG7" s="90"/>
      <c r="AH7" s="90"/>
      <c r="AI7" s="35"/>
      <c r="AJ7" s="35"/>
      <c r="AK7" s="36"/>
      <c r="AL7" s="37"/>
      <c r="AM7" s="35"/>
      <c r="AN7" s="96" t="s">
        <v>136</v>
      </c>
      <c r="AO7" s="96"/>
      <c r="AP7" s="96"/>
      <c r="AQ7" s="96"/>
      <c r="AR7" s="96"/>
      <c r="AS7" s="96"/>
      <c r="AT7" s="96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103" t="s">
        <v>29</v>
      </c>
      <c r="BH7" s="103"/>
      <c r="BI7" s="103"/>
      <c r="BJ7" s="104" t="s">
        <v>30</v>
      </c>
      <c r="BK7" s="104"/>
      <c r="BL7" s="104"/>
      <c r="BM7" s="84" t="s">
        <v>116</v>
      </c>
      <c r="BN7" s="84"/>
      <c r="BO7" s="84"/>
      <c r="BP7" s="84" t="s">
        <v>142</v>
      </c>
      <c r="BQ7" s="84"/>
      <c r="BR7" s="84"/>
      <c r="BS7" s="84"/>
      <c r="BT7" s="41"/>
      <c r="BU7" s="38"/>
      <c r="BV7" s="35"/>
      <c r="BW7" s="35"/>
      <c r="BX7" s="83" t="s">
        <v>105</v>
      </c>
      <c r="BY7" s="83"/>
      <c r="BZ7" s="83"/>
      <c r="CA7" s="83"/>
      <c r="CB7" s="83"/>
      <c r="CC7" s="83"/>
      <c r="CD7" s="83"/>
      <c r="CE7" s="90">
        <f>VALUE('YF Summary A'!B2)</f>
        <v>12.74</v>
      </c>
      <c r="CF7" s="90"/>
      <c r="CG7" s="90"/>
      <c r="CH7" s="90"/>
      <c r="CI7" s="90"/>
      <c r="CJ7" s="90"/>
      <c r="CK7" s="90"/>
      <c r="CL7" s="35"/>
      <c r="CM7" s="35"/>
      <c r="CN7" s="35"/>
      <c r="CO7" s="83" t="s">
        <v>111</v>
      </c>
      <c r="CP7" s="83"/>
      <c r="CQ7" s="83"/>
      <c r="CR7" s="83"/>
      <c r="CS7" s="83"/>
      <c r="CT7" s="83"/>
      <c r="CU7" s="83"/>
      <c r="CV7" s="95">
        <f>VALUE('YF Summary A'!B8)</f>
        <v>776894</v>
      </c>
      <c r="CW7" s="95"/>
      <c r="CX7" s="95"/>
      <c r="CY7" s="95"/>
      <c r="CZ7" s="95"/>
      <c r="DA7" s="95"/>
      <c r="DB7" s="95"/>
      <c r="DC7" s="35"/>
      <c r="DD7" s="35"/>
      <c r="DE7" s="39"/>
    </row>
    <row r="8" spans="2:109" x14ac:dyDescent="0.35">
      <c r="B8" s="34"/>
      <c r="C8" s="35"/>
      <c r="D8" s="83" t="s">
        <v>94</v>
      </c>
      <c r="E8" s="83"/>
      <c r="F8" s="83"/>
      <c r="G8" s="83"/>
      <c r="H8" s="83"/>
      <c r="I8" s="83"/>
      <c r="J8" s="83"/>
      <c r="K8" s="86">
        <v>12.5</v>
      </c>
      <c r="L8" s="86"/>
      <c r="M8" s="86"/>
      <c r="N8" s="86"/>
      <c r="O8" s="86"/>
      <c r="P8" s="86"/>
      <c r="Q8" s="86"/>
      <c r="R8" s="35"/>
      <c r="S8" s="35"/>
      <c r="T8" s="35"/>
      <c r="U8" s="83" t="s">
        <v>100</v>
      </c>
      <c r="V8" s="83"/>
      <c r="W8" s="83"/>
      <c r="X8" s="83"/>
      <c r="Y8" s="83"/>
      <c r="Z8" s="83"/>
      <c r="AA8" s="83"/>
      <c r="AB8" s="79">
        <f>IFERROR(VLOOKUP(AK2,T_Bills_3M[],5,FALSE),VLOOKUP(AK2,T_Bills_3M[],5,TRUE))/100</f>
        <v>4.4999999999999999E-4</v>
      </c>
      <c r="AC8" s="79"/>
      <c r="AD8" s="79"/>
      <c r="AE8" s="79"/>
      <c r="AF8" s="79"/>
      <c r="AG8" s="79"/>
      <c r="AH8" s="79"/>
      <c r="AI8" s="35"/>
      <c r="AJ8" s="35"/>
      <c r="AK8" s="36"/>
      <c r="AL8" s="37"/>
      <c r="AM8" s="35"/>
      <c r="AN8" s="82" t="str">
        <f>'YF Calls'!A2</f>
        <v>ARI210219C00012500</v>
      </c>
      <c r="AO8" s="82"/>
      <c r="AP8" s="82"/>
      <c r="AQ8" s="82"/>
      <c r="AR8" s="82"/>
      <c r="AS8" s="82"/>
      <c r="AT8" s="82"/>
      <c r="AU8" s="82"/>
      <c r="AV8" s="82"/>
      <c r="AW8" s="82"/>
      <c r="AX8" s="82" t="str">
        <f>LEFT('YF Calls'!B2,LEN('YF Calls'!B2)-4)</f>
        <v>2021-02-12 1:22PM</v>
      </c>
      <c r="AY8" s="82"/>
      <c r="AZ8" s="82"/>
      <c r="BA8" s="82"/>
      <c r="BB8" s="82"/>
      <c r="BC8" s="82"/>
      <c r="BD8" s="82"/>
      <c r="BE8" s="82"/>
      <c r="BF8" s="82"/>
      <c r="BG8" s="102">
        <f>'YF Calls'!E2</f>
        <v>0.4</v>
      </c>
      <c r="BH8" s="102"/>
      <c r="BI8" s="102"/>
      <c r="BJ8" s="102">
        <f>'YF Calls'!F2</f>
        <v>0.55000000000000004</v>
      </c>
      <c r="BK8" s="102"/>
      <c r="BL8" s="102"/>
      <c r="BM8" s="102">
        <f>'YF Calls'!D2</f>
        <v>0.5</v>
      </c>
      <c r="BN8" s="102"/>
      <c r="BO8" s="102"/>
      <c r="BP8" s="85" t="str">
        <f>'YF Calls'!I2</f>
        <v>83</v>
      </c>
      <c r="BQ8" s="85"/>
      <c r="BR8" s="85"/>
      <c r="BS8" s="85"/>
      <c r="BT8" s="49"/>
      <c r="BU8" s="38"/>
      <c r="BV8" s="35"/>
      <c r="BW8" s="35"/>
      <c r="BX8" s="83" t="s">
        <v>106</v>
      </c>
      <c r="BY8" s="83"/>
      <c r="BZ8" s="83"/>
      <c r="CA8" s="83"/>
      <c r="CB8" s="83"/>
      <c r="CC8" s="83"/>
      <c r="CD8" s="83"/>
      <c r="CE8" s="90">
        <f>VALUE('YF Summary A'!B3)</f>
        <v>12.8</v>
      </c>
      <c r="CF8" s="90"/>
      <c r="CG8" s="90"/>
      <c r="CH8" s="90"/>
      <c r="CI8" s="90"/>
      <c r="CJ8" s="90"/>
      <c r="CK8" s="90"/>
      <c r="CL8" s="35"/>
      <c r="CM8" s="35"/>
      <c r="CN8" s="35"/>
      <c r="CO8" s="83" t="s">
        <v>112</v>
      </c>
      <c r="CP8" s="83"/>
      <c r="CQ8" s="83"/>
      <c r="CR8" s="83"/>
      <c r="CS8" s="83"/>
      <c r="CT8" s="83"/>
      <c r="CU8" s="83"/>
      <c r="CV8" s="95">
        <f>VALUE('YF Summary A'!B9)</f>
        <v>1103167</v>
      </c>
      <c r="CW8" s="95"/>
      <c r="CX8" s="95"/>
      <c r="CY8" s="95"/>
      <c r="CZ8" s="95"/>
      <c r="DA8" s="95"/>
      <c r="DB8" s="95"/>
      <c r="DC8" s="35"/>
      <c r="DD8" s="35"/>
      <c r="DE8" s="39"/>
    </row>
    <row r="9" spans="2:109" x14ac:dyDescent="0.35">
      <c r="B9" s="34"/>
      <c r="C9" s="35"/>
      <c r="D9" s="83" t="s">
        <v>95</v>
      </c>
      <c r="E9" s="83"/>
      <c r="F9" s="83"/>
      <c r="G9" s="83"/>
      <c r="H9" s="83"/>
      <c r="I9" s="83"/>
      <c r="J9" s="83"/>
      <c r="K9" s="100">
        <v>44248</v>
      </c>
      <c r="L9" s="100"/>
      <c r="M9" s="100"/>
      <c r="N9" s="100"/>
      <c r="O9" s="100"/>
      <c r="P9" s="100"/>
      <c r="Q9" s="100"/>
      <c r="R9" s="35"/>
      <c r="S9" s="35"/>
      <c r="T9" s="35"/>
      <c r="U9" s="83" t="s">
        <v>101</v>
      </c>
      <c r="V9" s="83"/>
      <c r="W9" s="83"/>
      <c r="X9" s="83"/>
      <c r="Y9" s="83"/>
      <c r="Z9" s="83"/>
      <c r="AA9" s="83"/>
      <c r="AB9" s="81">
        <f>VLOOKUP(AK2,EWMA!A1:F200,6,FALSE)*SQRT(252)</f>
        <v>0.35440104821216523</v>
      </c>
      <c r="AC9" s="81"/>
      <c r="AD9" s="81"/>
      <c r="AE9" s="81"/>
      <c r="AF9" s="81"/>
      <c r="AG9" s="81"/>
      <c r="AH9" s="81"/>
      <c r="AI9" s="35"/>
      <c r="AJ9" s="35"/>
      <c r="AK9" s="36"/>
      <c r="AL9" s="37"/>
      <c r="AM9" s="35"/>
      <c r="AN9" s="82" t="str">
        <f>'YF Calls'!A3</f>
        <v>ARI210219C00015000</v>
      </c>
      <c r="AO9" s="82"/>
      <c r="AP9" s="82"/>
      <c r="AQ9" s="82"/>
      <c r="AR9" s="82"/>
      <c r="AS9" s="82"/>
      <c r="AT9" s="82"/>
      <c r="AU9" s="82"/>
      <c r="AV9" s="82"/>
      <c r="AW9" s="82"/>
      <c r="AX9" s="82" t="str">
        <f>LEFT('YF Calls'!B3,LEN('YF Calls'!B3)-4)</f>
        <v>2021-02-10 3:47PM</v>
      </c>
      <c r="AY9" s="82"/>
      <c r="AZ9" s="82"/>
      <c r="BA9" s="82"/>
      <c r="BB9" s="82"/>
      <c r="BC9" s="82"/>
      <c r="BD9" s="82"/>
      <c r="BE9" s="82"/>
      <c r="BF9" s="82"/>
      <c r="BG9" s="102">
        <f>'YF Calls'!E3</f>
        <v>0</v>
      </c>
      <c r="BH9" s="102"/>
      <c r="BI9" s="102"/>
      <c r="BJ9" s="102">
        <f>'YF Calls'!F3</f>
        <v>0.05</v>
      </c>
      <c r="BK9" s="102"/>
      <c r="BL9" s="102"/>
      <c r="BM9" s="102">
        <f>'YF Calls'!D3</f>
        <v>0.05</v>
      </c>
      <c r="BN9" s="102"/>
      <c r="BO9" s="102"/>
      <c r="BP9" s="85" t="str">
        <f>'YF Calls'!I3</f>
        <v>101</v>
      </c>
      <c r="BQ9" s="85"/>
      <c r="BR9" s="85"/>
      <c r="BS9" s="85"/>
      <c r="BT9" s="49"/>
      <c r="BU9" s="38"/>
      <c r="BV9" s="35"/>
      <c r="BW9" s="35"/>
      <c r="BX9" s="83" t="s">
        <v>107</v>
      </c>
      <c r="BY9" s="83"/>
      <c r="BZ9" s="83"/>
      <c r="CA9" s="83"/>
      <c r="CB9" s="83"/>
      <c r="CC9" s="83"/>
      <c r="CD9" s="83"/>
      <c r="CE9" s="90" t="str">
        <f>'YF Summary A'!B4</f>
        <v>12.80 x 800</v>
      </c>
      <c r="CF9" s="90"/>
      <c r="CG9" s="90"/>
      <c r="CH9" s="90"/>
      <c r="CI9" s="90"/>
      <c r="CJ9" s="90"/>
      <c r="CK9" s="90"/>
      <c r="CL9" s="35"/>
      <c r="CM9" s="35"/>
      <c r="CN9" s="35"/>
      <c r="CO9" s="83" t="s">
        <v>152</v>
      </c>
      <c r="CP9" s="83"/>
      <c r="CQ9" s="83"/>
      <c r="CR9" s="83"/>
      <c r="CS9" s="83"/>
      <c r="CT9" s="83"/>
      <c r="CU9" s="83"/>
      <c r="CV9" s="93" t="str">
        <f>'YF Summary B'!B3</f>
        <v>1.32</v>
      </c>
      <c r="CW9" s="93"/>
      <c r="CX9" s="93"/>
      <c r="CY9" s="93"/>
      <c r="CZ9" s="93"/>
      <c r="DA9" s="93"/>
      <c r="DB9" s="93"/>
      <c r="DC9" s="35"/>
      <c r="DD9" s="35"/>
      <c r="DE9" s="39"/>
    </row>
    <row r="10" spans="2:109" x14ac:dyDescent="0.35">
      <c r="B10" s="34"/>
      <c r="C10" s="35"/>
      <c r="D10" s="83" t="s">
        <v>96</v>
      </c>
      <c r="E10" s="83"/>
      <c r="F10" s="83"/>
      <c r="G10" s="83"/>
      <c r="H10" s="83"/>
      <c r="I10" s="83"/>
      <c r="J10" s="83"/>
      <c r="K10" s="99">
        <v>100</v>
      </c>
      <c r="L10" s="99"/>
      <c r="M10" s="99"/>
      <c r="N10" s="99"/>
      <c r="O10" s="99"/>
      <c r="P10" s="99"/>
      <c r="Q10" s="99"/>
      <c r="R10" s="35"/>
      <c r="S10" s="35"/>
      <c r="T10" s="35"/>
      <c r="U10" s="83" t="s">
        <v>149</v>
      </c>
      <c r="V10" s="83"/>
      <c r="W10" s="83"/>
      <c r="X10" s="83"/>
      <c r="Y10" s="83"/>
      <c r="Z10" s="83"/>
      <c r="AA10" s="83"/>
      <c r="AB10" s="81" cm="1">
        <f t="array" ref="AB10">IF(AB13=0,0,VALUE(simpleCellRegex('Trading Dashboard'!AB13,"%\)"))/100)</f>
        <v>0.10880000000000001</v>
      </c>
      <c r="AC10" s="81"/>
      <c r="AD10" s="81"/>
      <c r="AE10" s="81"/>
      <c r="AF10" s="81"/>
      <c r="AG10" s="81"/>
      <c r="AH10" s="81"/>
      <c r="AI10" s="35"/>
      <c r="AJ10" s="35"/>
      <c r="AK10" s="36"/>
      <c r="AL10" s="37"/>
      <c r="AM10" s="35"/>
      <c r="AN10" s="82" t="str">
        <f>'YF Calls'!A4</f>
        <v>ARI210219C00010000</v>
      </c>
      <c r="AO10" s="82"/>
      <c r="AP10" s="82"/>
      <c r="AQ10" s="82"/>
      <c r="AR10" s="82"/>
      <c r="AS10" s="82"/>
      <c r="AT10" s="82"/>
      <c r="AU10" s="82"/>
      <c r="AV10" s="82"/>
      <c r="AW10" s="82"/>
      <c r="AX10" s="82" t="str">
        <f>LEFT('YF Calls'!B4,LEN('YF Calls'!B4)-4)</f>
        <v>2021-02-12 9:58AM</v>
      </c>
      <c r="AY10" s="82"/>
      <c r="AZ10" s="82"/>
      <c r="BA10" s="82"/>
      <c r="BB10" s="82"/>
      <c r="BC10" s="82"/>
      <c r="BD10" s="82"/>
      <c r="BE10" s="82"/>
      <c r="BF10" s="82"/>
      <c r="BG10" s="102">
        <f>'YF Calls'!E4</f>
        <v>2.8</v>
      </c>
      <c r="BH10" s="102"/>
      <c r="BI10" s="102"/>
      <c r="BJ10" s="102">
        <f>'YF Calls'!F4</f>
        <v>2.95</v>
      </c>
      <c r="BK10" s="102"/>
      <c r="BL10" s="102"/>
      <c r="BM10" s="102">
        <f>'YF Calls'!D4</f>
        <v>3</v>
      </c>
      <c r="BN10" s="102"/>
      <c r="BO10" s="102"/>
      <c r="BP10" s="85" t="str">
        <f>'YF Calls'!I4</f>
        <v>17</v>
      </c>
      <c r="BQ10" s="85"/>
      <c r="BR10" s="85"/>
      <c r="BS10" s="85"/>
      <c r="BT10" s="49"/>
      <c r="BU10" s="38"/>
      <c r="BV10" s="35"/>
      <c r="BW10" s="35"/>
      <c r="BX10" s="83" t="s">
        <v>108</v>
      </c>
      <c r="BY10" s="83"/>
      <c r="BZ10" s="83"/>
      <c r="CA10" s="83"/>
      <c r="CB10" s="83"/>
      <c r="CC10" s="83"/>
      <c r="CD10" s="83"/>
      <c r="CE10" s="90" t="str">
        <f>'YF Summary A'!B5</f>
        <v>13.00 x 1100</v>
      </c>
      <c r="CF10" s="90"/>
      <c r="CG10" s="90"/>
      <c r="CH10" s="90"/>
      <c r="CI10" s="90"/>
      <c r="CJ10" s="90"/>
      <c r="CK10" s="90"/>
      <c r="CL10" s="35"/>
      <c r="CM10" s="35"/>
      <c r="CN10" s="35"/>
      <c r="CO10" s="83" t="s">
        <v>150</v>
      </c>
      <c r="CP10" s="83"/>
      <c r="CQ10" s="83"/>
      <c r="CR10" s="83"/>
      <c r="CS10" s="83"/>
      <c r="CT10" s="83"/>
      <c r="CU10" s="83"/>
      <c r="CV10" s="93" t="str">
        <f>'YF Summary B'!B4</f>
        <v>1,430.00</v>
      </c>
      <c r="CW10" s="93"/>
      <c r="CX10" s="93"/>
      <c r="CY10" s="93"/>
      <c r="CZ10" s="93"/>
      <c r="DA10" s="93"/>
      <c r="DB10" s="93"/>
      <c r="DC10" s="35"/>
      <c r="DD10" s="35"/>
      <c r="DE10" s="39"/>
    </row>
    <row r="11" spans="2:109" x14ac:dyDescent="0.35">
      <c r="B11" s="34"/>
      <c r="C11" s="35"/>
      <c r="D11" s="40"/>
      <c r="E11" s="40"/>
      <c r="F11" s="40"/>
      <c r="G11" s="40"/>
      <c r="H11" s="40"/>
      <c r="I11" s="40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83" t="s">
        <v>102</v>
      </c>
      <c r="V11" s="83"/>
      <c r="W11" s="83"/>
      <c r="X11" s="83"/>
      <c r="Y11" s="83"/>
      <c r="Z11" s="83"/>
      <c r="AA11" s="83"/>
      <c r="AB11" s="80" t="s">
        <v>104</v>
      </c>
      <c r="AC11" s="80"/>
      <c r="AD11" s="80"/>
      <c r="AE11" s="80"/>
      <c r="AF11" s="80"/>
      <c r="AG11" s="80"/>
      <c r="AH11" s="80"/>
      <c r="AI11" s="35"/>
      <c r="AJ11" s="35"/>
      <c r="AK11" s="36"/>
      <c r="AL11" s="37"/>
      <c r="AM11" s="35"/>
      <c r="AN11" s="82" t="str">
        <f>'YF Calls'!A5</f>
        <v>ARI210219C00007500</v>
      </c>
      <c r="AO11" s="82"/>
      <c r="AP11" s="82"/>
      <c r="AQ11" s="82"/>
      <c r="AR11" s="82"/>
      <c r="AS11" s="82"/>
      <c r="AT11" s="82"/>
      <c r="AU11" s="82"/>
      <c r="AV11" s="82"/>
      <c r="AW11" s="82"/>
      <c r="AX11" s="82" t="str">
        <f>LEFT('YF Calls'!B5,LEN('YF Calls'!B5)-4)</f>
        <v>2021-01-06 3:53PM</v>
      </c>
      <c r="AY11" s="82"/>
      <c r="AZ11" s="82"/>
      <c r="BA11" s="82"/>
      <c r="BB11" s="82"/>
      <c r="BC11" s="82"/>
      <c r="BD11" s="82"/>
      <c r="BE11" s="82"/>
      <c r="BF11" s="82"/>
      <c r="BG11" s="102">
        <f>'YF Calls'!E5</f>
        <v>4.3</v>
      </c>
      <c r="BH11" s="102"/>
      <c r="BI11" s="102"/>
      <c r="BJ11" s="102">
        <f>'YF Calls'!F5</f>
        <v>4.7</v>
      </c>
      <c r="BK11" s="102"/>
      <c r="BL11" s="102"/>
      <c r="BM11" s="102">
        <f>'YF Calls'!D5</f>
        <v>4</v>
      </c>
      <c r="BN11" s="102"/>
      <c r="BO11" s="102"/>
      <c r="BP11" s="85" t="str">
        <f>'YF Calls'!I5</f>
        <v>1</v>
      </c>
      <c r="BQ11" s="85"/>
      <c r="BR11" s="85"/>
      <c r="BS11" s="85"/>
      <c r="BT11" s="49"/>
      <c r="BU11" s="38"/>
      <c r="BV11" s="35"/>
      <c r="BW11" s="35"/>
      <c r="BX11" s="83" t="s">
        <v>109</v>
      </c>
      <c r="BY11" s="83"/>
      <c r="BZ11" s="83"/>
      <c r="CA11" s="83"/>
      <c r="CB11" s="83"/>
      <c r="CC11" s="83"/>
      <c r="CD11" s="83"/>
      <c r="CE11" s="90" t="str">
        <f>'YF Summary A'!B6</f>
        <v>12.70 - 12.98</v>
      </c>
      <c r="CF11" s="90"/>
      <c r="CG11" s="90"/>
      <c r="CH11" s="90"/>
      <c r="CI11" s="90"/>
      <c r="CJ11" s="90"/>
      <c r="CK11" s="90"/>
      <c r="CL11" s="35"/>
      <c r="CM11" s="35"/>
      <c r="CN11" s="35"/>
      <c r="CO11" s="83" t="s">
        <v>151</v>
      </c>
      <c r="CP11" s="83"/>
      <c r="CQ11" s="83"/>
      <c r="CR11" s="83"/>
      <c r="CS11" s="83"/>
      <c r="CT11" s="83"/>
      <c r="CU11" s="83"/>
      <c r="CV11" s="93" t="str">
        <f>'YF Summary B'!B5</f>
        <v>0.01</v>
      </c>
      <c r="CW11" s="93"/>
      <c r="CX11" s="93"/>
      <c r="CY11" s="93"/>
      <c r="CZ11" s="93"/>
      <c r="DA11" s="93"/>
      <c r="DB11" s="93"/>
      <c r="DC11" s="35"/>
      <c r="DD11" s="35"/>
      <c r="DE11" s="39"/>
    </row>
    <row r="12" spans="2:109" x14ac:dyDescent="0.35">
      <c r="B12" s="34"/>
      <c r="C12" s="35"/>
      <c r="D12" s="83" t="s">
        <v>92</v>
      </c>
      <c r="E12" s="83"/>
      <c r="F12" s="83"/>
      <c r="G12" s="83"/>
      <c r="H12" s="83"/>
      <c r="I12" s="83"/>
      <c r="J12" s="83"/>
      <c r="K12" s="98">
        <v>0.55000000000000004</v>
      </c>
      <c r="L12" s="98"/>
      <c r="M12" s="98"/>
      <c r="N12" s="98"/>
      <c r="O12" s="98"/>
      <c r="P12" s="98"/>
      <c r="Q12" s="98"/>
      <c r="R12" s="35"/>
      <c r="S12" s="35"/>
      <c r="T12" s="35"/>
      <c r="U12" s="83" t="s">
        <v>98</v>
      </c>
      <c r="V12" s="83"/>
      <c r="W12" s="83"/>
      <c r="X12" s="83"/>
      <c r="Y12" s="83"/>
      <c r="Z12" s="83"/>
      <c r="AA12" s="83"/>
      <c r="AB12" s="101" cm="1">
        <f t="array" ref="AB12">OptionPrice(K7,AB7,K8,AB8,AB10,AB9,K9,AB11)</f>
        <v>0.491261674191171</v>
      </c>
      <c r="AC12" s="101"/>
      <c r="AD12" s="101"/>
      <c r="AE12" s="101"/>
      <c r="AF12" s="101"/>
      <c r="AG12" s="101"/>
      <c r="AH12" s="101"/>
      <c r="AI12" s="35"/>
      <c r="AJ12" s="35"/>
      <c r="AK12" s="36"/>
      <c r="AL12" s="37"/>
      <c r="AM12" s="35"/>
      <c r="AN12" s="82" t="str">
        <f>'YF Calls'!A6</f>
        <v>ARI210219C00005000</v>
      </c>
      <c r="AO12" s="82"/>
      <c r="AP12" s="82"/>
      <c r="AQ12" s="82"/>
      <c r="AR12" s="82"/>
      <c r="AS12" s="82"/>
      <c r="AT12" s="82"/>
      <c r="AU12" s="82"/>
      <c r="AV12" s="82"/>
      <c r="AW12" s="82"/>
      <c r="AX12" s="82" t="str">
        <f>LEFT('YF Calls'!B6,LEN('YF Calls'!B6)-4)</f>
        <v>2021-02-01 2:23PM</v>
      </c>
      <c r="AY12" s="82"/>
      <c r="AZ12" s="82"/>
      <c r="BA12" s="82"/>
      <c r="BB12" s="82"/>
      <c r="BC12" s="82"/>
      <c r="BD12" s="82"/>
      <c r="BE12" s="82"/>
      <c r="BF12" s="82"/>
      <c r="BG12" s="102">
        <f>'YF Calls'!E6</f>
        <v>7.6</v>
      </c>
      <c r="BH12" s="102"/>
      <c r="BI12" s="102"/>
      <c r="BJ12" s="102">
        <f>'YF Calls'!F6</f>
        <v>9.1</v>
      </c>
      <c r="BK12" s="102"/>
      <c r="BL12" s="102"/>
      <c r="BM12" s="102">
        <f>'YF Calls'!D6</f>
        <v>7.6</v>
      </c>
      <c r="BN12" s="102"/>
      <c r="BO12" s="102"/>
      <c r="BP12" s="85" t="str">
        <f>'YF Calls'!I6</f>
        <v>5</v>
      </c>
      <c r="BQ12" s="85"/>
      <c r="BR12" s="85"/>
      <c r="BS12" s="85"/>
      <c r="BT12" s="49"/>
      <c r="BU12" s="38"/>
      <c r="BV12" s="35"/>
      <c r="BW12" s="35"/>
      <c r="BX12" s="83" t="s">
        <v>110</v>
      </c>
      <c r="BY12" s="83"/>
      <c r="BZ12" s="83"/>
      <c r="CA12" s="83"/>
      <c r="CB12" s="83"/>
      <c r="CC12" s="83"/>
      <c r="CD12" s="83"/>
      <c r="CE12" s="89" t="str">
        <f>'YF Summary B'!B2</f>
        <v>1.8B</v>
      </c>
      <c r="CF12" s="89"/>
      <c r="CG12" s="89"/>
      <c r="CH12" s="89"/>
      <c r="CI12" s="89"/>
      <c r="CJ12" s="89"/>
      <c r="CK12" s="89"/>
      <c r="CL12" s="35"/>
      <c r="CM12" s="35"/>
      <c r="CN12" s="35"/>
      <c r="CO12" s="83" t="s">
        <v>113</v>
      </c>
      <c r="CP12" s="83"/>
      <c r="CQ12" s="83"/>
      <c r="CR12" s="83"/>
      <c r="CS12" s="83"/>
      <c r="CT12" s="83"/>
      <c r="CU12" s="83"/>
      <c r="CV12" s="94" t="str">
        <f>'YF Summary B'!B8</f>
        <v>Dec 30, 2020</v>
      </c>
      <c r="CW12" s="94"/>
      <c r="CX12" s="94"/>
      <c r="CY12" s="94"/>
      <c r="CZ12" s="94"/>
      <c r="DA12" s="94"/>
      <c r="DB12" s="94"/>
      <c r="DC12" s="35"/>
      <c r="DD12" s="35"/>
      <c r="DE12" s="39"/>
    </row>
    <row r="13" spans="2:109" x14ac:dyDescent="0.35">
      <c r="B13" s="34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58" t="str">
        <f>IFERROR(VLOOKUP("Forward Dividend &amp; Yield",YF_Summary_B[#All],2,FALSE),0)</f>
        <v>1.40 (10.88%)</v>
      </c>
      <c r="AB13" s="58" t="str" cm="1">
        <f t="array" ref="AB13">IF(AA13=0,0,simpleCellRegex(AA13,"^(\d*)\.(\d*)\s\("))</f>
        <v>10.88%)</v>
      </c>
      <c r="AC13" s="35"/>
      <c r="AD13" s="35"/>
      <c r="AE13" s="35"/>
      <c r="AF13" s="35"/>
      <c r="AG13" s="35"/>
      <c r="AH13" s="35"/>
      <c r="AI13" s="35"/>
      <c r="AJ13" s="35"/>
      <c r="AK13" s="36"/>
      <c r="AL13" s="37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8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5"/>
      <c r="CY13" s="35"/>
      <c r="CZ13" s="35"/>
      <c r="DA13" s="35"/>
      <c r="DB13" s="35"/>
      <c r="DC13" s="35"/>
      <c r="DD13" s="35"/>
      <c r="DE13" s="39"/>
    </row>
    <row r="14" spans="2:109" x14ac:dyDescent="0.35">
      <c r="B14" s="34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6"/>
      <c r="AL14" s="37"/>
      <c r="AM14" s="35"/>
      <c r="AN14" s="96" t="s">
        <v>137</v>
      </c>
      <c r="AO14" s="96"/>
      <c r="AP14" s="96"/>
      <c r="AQ14" s="96"/>
      <c r="AR14" s="96"/>
      <c r="AS14" s="96"/>
      <c r="AT14" s="96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103" t="s">
        <v>29</v>
      </c>
      <c r="BH14" s="103"/>
      <c r="BI14" s="103"/>
      <c r="BJ14" s="104" t="s">
        <v>30</v>
      </c>
      <c r="BK14" s="104"/>
      <c r="BL14" s="104"/>
      <c r="BM14" s="84" t="s">
        <v>116</v>
      </c>
      <c r="BN14" s="84"/>
      <c r="BO14" s="84"/>
      <c r="BP14" s="84" t="s">
        <v>142</v>
      </c>
      <c r="BQ14" s="84"/>
      <c r="BR14" s="84"/>
      <c r="BS14" s="84"/>
      <c r="BT14" s="35"/>
      <c r="BU14" s="38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35"/>
      <c r="CX14" s="35"/>
      <c r="CY14" s="35"/>
      <c r="CZ14" s="35"/>
      <c r="DA14" s="35"/>
      <c r="DB14" s="35"/>
      <c r="DC14" s="35"/>
      <c r="DD14" s="35"/>
      <c r="DE14" s="39"/>
    </row>
    <row r="15" spans="2:109" x14ac:dyDescent="0.35">
      <c r="B15" s="34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6"/>
      <c r="AL15" s="37"/>
      <c r="AM15" s="35"/>
      <c r="AN15" s="82" t="str">
        <f>'YF Puts'!A2</f>
        <v>ARI210219P00007500</v>
      </c>
      <c r="AO15" s="82"/>
      <c r="AP15" s="82"/>
      <c r="AQ15" s="82"/>
      <c r="AR15" s="82"/>
      <c r="AS15" s="82"/>
      <c r="AT15" s="82"/>
      <c r="AU15" s="82"/>
      <c r="AV15" s="82"/>
      <c r="AW15" s="82"/>
      <c r="AX15" s="82" t="str">
        <f>LEFT('YF Puts'!B2,LEN('YF Puts'!B2)-4)</f>
        <v>2021-02-02 2:51PM</v>
      </c>
      <c r="AY15" s="82"/>
      <c r="AZ15" s="82"/>
      <c r="BA15" s="82"/>
      <c r="BB15" s="82"/>
      <c r="BC15" s="82"/>
      <c r="BD15" s="82"/>
      <c r="BE15" s="82"/>
      <c r="BF15" s="82"/>
      <c r="BG15" s="102">
        <f>'YF Puts'!E2</f>
        <v>0</v>
      </c>
      <c r="BH15" s="102"/>
      <c r="BI15" s="102"/>
      <c r="BJ15" s="102">
        <f>'YF Puts'!F2</f>
        <v>0.1</v>
      </c>
      <c r="BK15" s="102"/>
      <c r="BL15" s="102"/>
      <c r="BM15" s="102">
        <f>'YF Puts'!D2</f>
        <v>0.05</v>
      </c>
      <c r="BN15" s="102"/>
      <c r="BO15" s="102"/>
      <c r="BP15" s="85" t="str">
        <f>'YF Puts'!I2</f>
        <v>1</v>
      </c>
      <c r="BQ15" s="85"/>
      <c r="BR15" s="85"/>
      <c r="BS15" s="85"/>
      <c r="BT15" s="35"/>
      <c r="BU15" s="38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9"/>
    </row>
    <row r="16" spans="2:109" x14ac:dyDescent="0.35">
      <c r="B16" s="34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6"/>
      <c r="AL16" s="37"/>
      <c r="AM16" s="35"/>
      <c r="AN16" s="82" t="str">
        <f>'YF Puts'!A3</f>
        <v>ARI210219P00010000</v>
      </c>
      <c r="AO16" s="82"/>
      <c r="AP16" s="82"/>
      <c r="AQ16" s="82"/>
      <c r="AR16" s="82"/>
      <c r="AS16" s="82"/>
      <c r="AT16" s="82"/>
      <c r="AU16" s="82"/>
      <c r="AV16" s="82"/>
      <c r="AW16" s="82"/>
      <c r="AX16" s="82" t="str">
        <f>LEFT('YF Puts'!B3,LEN('YF Puts'!B3)-4)</f>
        <v>2021-02-09 11:17AM</v>
      </c>
      <c r="AY16" s="82"/>
      <c r="AZ16" s="82"/>
      <c r="BA16" s="82"/>
      <c r="BB16" s="82"/>
      <c r="BC16" s="82"/>
      <c r="BD16" s="82"/>
      <c r="BE16" s="82"/>
      <c r="BF16" s="82"/>
      <c r="BG16" s="102">
        <f>'YF Puts'!E3</f>
        <v>0</v>
      </c>
      <c r="BH16" s="102"/>
      <c r="BI16" s="102"/>
      <c r="BJ16" s="102">
        <f>'YF Puts'!F3</f>
        <v>0.1</v>
      </c>
      <c r="BK16" s="102"/>
      <c r="BL16" s="102"/>
      <c r="BM16" s="102">
        <f>'YF Puts'!D3</f>
        <v>0.05</v>
      </c>
      <c r="BN16" s="102"/>
      <c r="BO16" s="102"/>
      <c r="BP16" s="85" t="str">
        <f>'YF Puts'!I3</f>
        <v>1</v>
      </c>
      <c r="BQ16" s="85"/>
      <c r="BR16" s="85"/>
      <c r="BS16" s="85"/>
      <c r="BT16" s="35"/>
      <c r="BU16" s="38"/>
      <c r="BV16" s="35"/>
      <c r="BW16" s="35"/>
      <c r="BX16" s="35"/>
      <c r="BY16" s="35"/>
      <c r="BZ16" s="35"/>
      <c r="CA16" s="35"/>
      <c r="CB16" s="35"/>
      <c r="CC16" s="35"/>
      <c r="CD16" s="35"/>
      <c r="CE16" s="35"/>
      <c r="CF16" s="35"/>
      <c r="CG16" s="35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  <c r="CW16" s="35"/>
      <c r="CX16" s="35"/>
      <c r="CY16" s="35"/>
      <c r="CZ16" s="35"/>
      <c r="DA16" s="35"/>
      <c r="DB16" s="35"/>
      <c r="DC16" s="35"/>
      <c r="DD16" s="35"/>
      <c r="DE16" s="39"/>
    </row>
    <row r="17" spans="2:113" x14ac:dyDescent="0.35">
      <c r="B17" s="34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6"/>
      <c r="AL17" s="37"/>
      <c r="AM17" s="35"/>
      <c r="AN17" s="82" t="str">
        <f>'YF Puts'!A4</f>
        <v>ARI210219P00015000</v>
      </c>
      <c r="AO17" s="82"/>
      <c r="AP17" s="82"/>
      <c r="AQ17" s="82"/>
      <c r="AR17" s="82"/>
      <c r="AS17" s="82"/>
      <c r="AT17" s="82"/>
      <c r="AU17" s="82"/>
      <c r="AV17" s="82"/>
      <c r="AW17" s="82"/>
      <c r="AX17" s="82" t="str">
        <f>LEFT('YF Puts'!B4,LEN('YF Puts'!B4)-4)</f>
        <v>2021-01-11 9:42AM</v>
      </c>
      <c r="AY17" s="82"/>
      <c r="AZ17" s="82"/>
      <c r="BA17" s="82"/>
      <c r="BB17" s="82"/>
      <c r="BC17" s="82"/>
      <c r="BD17" s="82"/>
      <c r="BE17" s="82"/>
      <c r="BF17" s="82"/>
      <c r="BG17" s="102">
        <f>'YF Puts'!E4</f>
        <v>2.35</v>
      </c>
      <c r="BH17" s="102"/>
      <c r="BI17" s="102"/>
      <c r="BJ17" s="102">
        <f>'YF Puts'!F4</f>
        <v>2.9</v>
      </c>
      <c r="BK17" s="102"/>
      <c r="BL17" s="102"/>
      <c r="BM17" s="102">
        <f>'YF Puts'!D4</f>
        <v>3.61</v>
      </c>
      <c r="BN17" s="102"/>
      <c r="BO17" s="102"/>
      <c r="BP17" s="85" t="str">
        <f>'YF Puts'!I4</f>
        <v>7</v>
      </c>
      <c r="BQ17" s="85"/>
      <c r="BR17" s="85"/>
      <c r="BS17" s="85"/>
      <c r="BT17" s="35"/>
      <c r="BU17" s="38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5"/>
      <c r="CY17" s="35"/>
      <c r="CZ17" s="35"/>
      <c r="DA17" s="35"/>
      <c r="DB17" s="35"/>
      <c r="DC17" s="35"/>
      <c r="DD17" s="35"/>
      <c r="DE17" s="39"/>
    </row>
    <row r="18" spans="2:113" x14ac:dyDescent="0.35">
      <c r="B18" s="34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6"/>
      <c r="AL18" s="37"/>
      <c r="AM18" s="35"/>
      <c r="AN18" s="82" t="str">
        <f>'YF Puts'!A5</f>
        <v>ARI210219P00012500</v>
      </c>
      <c r="AO18" s="82"/>
      <c r="AP18" s="82"/>
      <c r="AQ18" s="82"/>
      <c r="AR18" s="82"/>
      <c r="AS18" s="82"/>
      <c r="AT18" s="82"/>
      <c r="AU18" s="82"/>
      <c r="AV18" s="82"/>
      <c r="AW18" s="82"/>
      <c r="AX18" s="82" t="str">
        <f>LEFT('YF Puts'!B5,LEN('YF Puts'!B5)-4)</f>
        <v>2021-02-12 2:43PM</v>
      </c>
      <c r="AY18" s="82"/>
      <c r="AZ18" s="82"/>
      <c r="BA18" s="82"/>
      <c r="BB18" s="82"/>
      <c r="BC18" s="82"/>
      <c r="BD18" s="82"/>
      <c r="BE18" s="82"/>
      <c r="BF18" s="82"/>
      <c r="BG18" s="102">
        <f>'YF Puts'!E5</f>
        <v>0.05</v>
      </c>
      <c r="BH18" s="102"/>
      <c r="BI18" s="102"/>
      <c r="BJ18" s="102">
        <f>'YF Puts'!F5</f>
        <v>0.15</v>
      </c>
      <c r="BK18" s="102"/>
      <c r="BL18" s="102"/>
      <c r="BM18" s="102">
        <f>'YF Puts'!D5</f>
        <v>0.1</v>
      </c>
      <c r="BN18" s="102"/>
      <c r="BO18" s="102"/>
      <c r="BP18" s="85" t="str">
        <f>'YF Puts'!I5</f>
        <v>1</v>
      </c>
      <c r="BQ18" s="85"/>
      <c r="BR18" s="85"/>
      <c r="BS18" s="85"/>
      <c r="BT18" s="35"/>
      <c r="BU18" s="38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CW18" s="35"/>
      <c r="CX18" s="35"/>
      <c r="CY18" s="35"/>
      <c r="CZ18" s="35"/>
      <c r="DA18" s="35"/>
      <c r="DB18" s="35"/>
      <c r="DC18" s="35"/>
      <c r="DD18" s="35"/>
      <c r="DE18" s="39"/>
    </row>
    <row r="19" spans="2:113" x14ac:dyDescent="0.35">
      <c r="B19" s="34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6"/>
      <c r="AL19" s="37"/>
      <c r="AM19" s="35"/>
      <c r="AN19" s="82" t="str">
        <f>'YF Puts'!A6</f>
        <v>ARI210219P00005000</v>
      </c>
      <c r="AO19" s="82"/>
      <c r="AP19" s="82"/>
      <c r="AQ19" s="82"/>
      <c r="AR19" s="82"/>
      <c r="AS19" s="82"/>
      <c r="AT19" s="82"/>
      <c r="AU19" s="82"/>
      <c r="AV19" s="82"/>
      <c r="AW19" s="82"/>
      <c r="AX19" s="82" t="str">
        <f>LEFT('YF Puts'!B6,LEN('YF Puts'!B6)-4)</f>
        <v>2020-12-08 9:31AM</v>
      </c>
      <c r="AY19" s="82"/>
      <c r="AZ19" s="82"/>
      <c r="BA19" s="82"/>
      <c r="BB19" s="82"/>
      <c r="BC19" s="82"/>
      <c r="BD19" s="82"/>
      <c r="BE19" s="82"/>
      <c r="BF19" s="82"/>
      <c r="BG19" s="102">
        <f>'YF Puts'!E6</f>
        <v>0</v>
      </c>
      <c r="BH19" s="102"/>
      <c r="BI19" s="102"/>
      <c r="BJ19" s="102">
        <f>'YF Puts'!F6</f>
        <v>0.05</v>
      </c>
      <c r="BK19" s="102"/>
      <c r="BL19" s="102"/>
      <c r="BM19" s="102">
        <f>'YF Puts'!D6</f>
        <v>0.05</v>
      </c>
      <c r="BN19" s="102"/>
      <c r="BO19" s="102"/>
      <c r="BP19" s="85" t="str">
        <f>'YF Puts'!I6</f>
        <v>4</v>
      </c>
      <c r="BQ19" s="85"/>
      <c r="BR19" s="85"/>
      <c r="BS19" s="85"/>
      <c r="BT19" s="35"/>
      <c r="BU19" s="38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5"/>
      <c r="CY19" s="35"/>
      <c r="CZ19" s="35"/>
      <c r="DA19" s="35"/>
      <c r="DB19" s="35"/>
      <c r="DC19" s="35"/>
      <c r="DD19" s="35"/>
      <c r="DE19" s="39"/>
    </row>
    <row r="20" spans="2:113" x14ac:dyDescent="0.35">
      <c r="B20" s="34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6"/>
      <c r="AL20" s="37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8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  <c r="CW20" s="35"/>
      <c r="CX20" s="35"/>
      <c r="CY20" s="35"/>
      <c r="CZ20" s="35"/>
      <c r="DA20" s="35"/>
      <c r="DB20" s="35"/>
      <c r="DC20" s="35"/>
      <c r="DD20" s="35"/>
      <c r="DE20" s="39"/>
    </row>
    <row r="21" spans="2:113" x14ac:dyDescent="0.35">
      <c r="B21" s="34"/>
      <c r="C21" s="35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6"/>
      <c r="AL21" s="37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8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5"/>
      <c r="CY21" s="35"/>
      <c r="CZ21" s="35"/>
      <c r="DA21" s="35"/>
      <c r="DB21" s="35"/>
      <c r="DC21" s="35"/>
      <c r="DD21" s="35"/>
      <c r="DE21" s="39"/>
    </row>
    <row r="22" spans="2:113" x14ac:dyDescent="0.35">
      <c r="B22" s="34"/>
      <c r="C22" s="41"/>
      <c r="D22" s="41"/>
      <c r="E22" s="41"/>
      <c r="F22" s="41"/>
      <c r="G22" s="41"/>
      <c r="H22" s="41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5"/>
      <c r="AB22" s="35"/>
      <c r="AC22" s="35"/>
      <c r="AD22" s="35"/>
      <c r="AE22" s="35"/>
      <c r="AF22" s="35"/>
      <c r="AG22" s="35"/>
      <c r="AH22" s="35"/>
      <c r="AI22" s="35"/>
      <c r="AJ22" s="35"/>
      <c r="AK22" s="36"/>
      <c r="AL22" s="37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5"/>
      <c r="BM22" s="35"/>
      <c r="BN22" s="35"/>
      <c r="BO22" s="35"/>
      <c r="BP22" s="35"/>
      <c r="BQ22" s="35"/>
      <c r="BR22" s="35"/>
      <c r="BS22" s="35"/>
      <c r="BT22" s="35"/>
      <c r="BU22" s="38"/>
      <c r="BV22" s="35"/>
      <c r="BW22" s="35"/>
      <c r="BX22" s="35"/>
      <c r="BY22" s="35"/>
      <c r="BZ22" s="35"/>
      <c r="CA22" s="35"/>
      <c r="CB22" s="35"/>
      <c r="CC22" s="35"/>
      <c r="CD22" s="35"/>
      <c r="CE22" s="35"/>
      <c r="CF22" s="35"/>
      <c r="CG22" s="35"/>
      <c r="CH22" s="35"/>
      <c r="CI22" s="35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  <c r="CW22" s="35"/>
      <c r="CX22" s="35"/>
      <c r="CY22" s="35"/>
      <c r="CZ22" s="35"/>
      <c r="DA22" s="35"/>
      <c r="DB22" s="35"/>
      <c r="DC22" s="35"/>
      <c r="DD22" s="35"/>
      <c r="DE22" s="39"/>
    </row>
    <row r="23" spans="2:113" ht="15.6" thickBot="1" x14ac:dyDescent="0.4">
      <c r="B23" s="42"/>
      <c r="C23" s="43"/>
      <c r="D23" s="43"/>
      <c r="E23" s="43"/>
      <c r="F23" s="43"/>
      <c r="G23" s="43"/>
      <c r="H23" s="43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5"/>
      <c r="AL23" s="46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7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  <c r="CX23" s="44"/>
      <c r="CY23" s="44"/>
      <c r="CZ23" s="44"/>
      <c r="DA23" s="44"/>
      <c r="DB23" s="44"/>
      <c r="DC23" s="44"/>
      <c r="DD23" s="44"/>
      <c r="DE23" s="48"/>
    </row>
    <row r="24" spans="2:113" x14ac:dyDescent="0.35">
      <c r="B24" s="50"/>
      <c r="C24" s="51"/>
      <c r="D24" s="51"/>
      <c r="E24" s="51"/>
      <c r="F24" s="51"/>
      <c r="G24" s="51"/>
      <c r="H24" s="51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6"/>
      <c r="BV24" s="52"/>
      <c r="BW24" s="52"/>
      <c r="BX24" s="52"/>
      <c r="BY24" s="52"/>
      <c r="BZ24" s="52"/>
      <c r="CA24" s="52"/>
      <c r="CB24" s="52"/>
      <c r="CC24" s="52"/>
      <c r="CD24" s="52"/>
      <c r="CE24" s="52"/>
      <c r="CF24" s="52"/>
      <c r="CG24" s="52"/>
      <c r="CH24" s="52"/>
      <c r="CI24" s="52"/>
      <c r="CJ24" s="52"/>
      <c r="CK24" s="52"/>
      <c r="CL24" s="52"/>
      <c r="CM24" s="52"/>
      <c r="CN24" s="52"/>
      <c r="CO24" s="52"/>
      <c r="CP24" s="52"/>
      <c r="CQ24" s="52"/>
      <c r="CR24" s="52"/>
      <c r="CS24" s="52"/>
      <c r="CT24" s="52"/>
      <c r="CU24" s="52"/>
      <c r="CV24" s="52"/>
      <c r="CW24" s="52"/>
      <c r="CX24" s="52"/>
      <c r="CY24" s="52"/>
      <c r="CZ24" s="52"/>
      <c r="DA24" s="52"/>
      <c r="DB24" s="52"/>
      <c r="DC24" s="52"/>
      <c r="DD24" s="52"/>
      <c r="DE24" s="53"/>
    </row>
    <row r="25" spans="2:113" x14ac:dyDescent="0.35">
      <c r="B25" s="34"/>
      <c r="C25" s="41"/>
      <c r="D25" s="91" t="s">
        <v>162</v>
      </c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  <c r="AG25" s="91"/>
      <c r="AH25" s="91"/>
      <c r="AI25" s="91"/>
      <c r="AJ25" s="91"/>
      <c r="AK25" s="91"/>
      <c r="AL25" s="91"/>
      <c r="AM25" s="91"/>
      <c r="AN25" s="91"/>
      <c r="AO25" s="91"/>
      <c r="AP25" s="91"/>
      <c r="AQ25" s="91"/>
      <c r="AR25" s="91"/>
      <c r="AS25" s="91"/>
      <c r="AT25" s="91"/>
      <c r="AU25" s="91"/>
      <c r="AV25" s="91"/>
      <c r="AW25" s="91"/>
      <c r="AX25" s="91"/>
      <c r="AY25" s="91"/>
      <c r="AZ25" s="91"/>
      <c r="BA25" s="91"/>
      <c r="BB25" s="91"/>
      <c r="BC25" s="91"/>
      <c r="BD25" s="91"/>
      <c r="BE25" s="91"/>
      <c r="BF25" s="91"/>
      <c r="BG25" s="91"/>
      <c r="BH25" s="91"/>
      <c r="BI25" s="91"/>
      <c r="BJ25" s="91"/>
      <c r="BK25" s="91"/>
      <c r="BL25" s="91"/>
      <c r="BM25" s="91"/>
      <c r="BN25" s="91"/>
      <c r="BO25" s="91"/>
      <c r="BP25" s="91"/>
      <c r="BQ25" s="91"/>
      <c r="BR25" s="91"/>
      <c r="BS25" s="91"/>
      <c r="BT25" s="35"/>
      <c r="BU25" s="38"/>
      <c r="BV25" s="35"/>
      <c r="BW25" s="35"/>
      <c r="BX25" s="91" t="s">
        <v>167</v>
      </c>
      <c r="BY25" s="91"/>
      <c r="BZ25" s="91"/>
      <c r="CA25" s="91"/>
      <c r="CB25" s="91"/>
      <c r="CC25" s="91"/>
      <c r="CD25" s="91"/>
      <c r="CE25" s="91"/>
      <c r="CF25" s="91"/>
      <c r="CG25" s="91"/>
      <c r="CH25" s="91"/>
      <c r="CI25" s="91"/>
      <c r="CJ25" s="91"/>
      <c r="CK25" s="91"/>
      <c r="CL25" s="91"/>
      <c r="CM25" s="91"/>
      <c r="CN25" s="91"/>
      <c r="CO25" s="91"/>
      <c r="CP25" s="91"/>
      <c r="CQ25" s="91"/>
      <c r="CR25" s="91"/>
      <c r="CS25" s="91"/>
      <c r="CT25" s="91"/>
      <c r="CU25" s="91"/>
      <c r="CV25" s="91"/>
      <c r="CW25" s="91"/>
      <c r="CX25" s="91"/>
      <c r="CY25" s="91"/>
      <c r="CZ25" s="91"/>
      <c r="DA25" s="91"/>
      <c r="DB25" s="91"/>
      <c r="DC25" s="91"/>
      <c r="DD25" s="35"/>
      <c r="DE25" s="39"/>
    </row>
    <row r="26" spans="2:113" x14ac:dyDescent="0.35">
      <c r="B26" s="54"/>
      <c r="C26" s="4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  <c r="AG26" s="91"/>
      <c r="AH26" s="91"/>
      <c r="AI26" s="91"/>
      <c r="AJ26" s="91"/>
      <c r="AK26" s="91"/>
      <c r="AL26" s="91"/>
      <c r="AM26" s="91"/>
      <c r="AN26" s="91"/>
      <c r="AO26" s="91"/>
      <c r="AP26" s="91"/>
      <c r="AQ26" s="91"/>
      <c r="AR26" s="91"/>
      <c r="AS26" s="91"/>
      <c r="AT26" s="91"/>
      <c r="AU26" s="91"/>
      <c r="AV26" s="91"/>
      <c r="AW26" s="91"/>
      <c r="AX26" s="91"/>
      <c r="AY26" s="91"/>
      <c r="AZ26" s="91"/>
      <c r="BA26" s="91"/>
      <c r="BB26" s="91"/>
      <c r="BC26" s="91"/>
      <c r="BD26" s="91"/>
      <c r="BE26" s="91"/>
      <c r="BF26" s="91"/>
      <c r="BG26" s="91"/>
      <c r="BH26" s="91"/>
      <c r="BI26" s="91"/>
      <c r="BJ26" s="91"/>
      <c r="BK26" s="91"/>
      <c r="BL26" s="91"/>
      <c r="BM26" s="91"/>
      <c r="BN26" s="91"/>
      <c r="BO26" s="91"/>
      <c r="BP26" s="91"/>
      <c r="BQ26" s="91"/>
      <c r="BR26" s="91"/>
      <c r="BS26" s="91"/>
      <c r="BT26" s="41"/>
      <c r="BU26" s="57"/>
      <c r="BV26" s="41"/>
      <c r="BW26" s="41"/>
      <c r="BX26" s="91"/>
      <c r="BY26" s="91"/>
      <c r="BZ26" s="91"/>
      <c r="CA26" s="91"/>
      <c r="CB26" s="91"/>
      <c r="CC26" s="91"/>
      <c r="CD26" s="91"/>
      <c r="CE26" s="91"/>
      <c r="CF26" s="91"/>
      <c r="CG26" s="91"/>
      <c r="CH26" s="91"/>
      <c r="CI26" s="91"/>
      <c r="CJ26" s="91"/>
      <c r="CK26" s="91"/>
      <c r="CL26" s="91"/>
      <c r="CM26" s="91"/>
      <c r="CN26" s="91"/>
      <c r="CO26" s="91"/>
      <c r="CP26" s="91"/>
      <c r="CQ26" s="91"/>
      <c r="CR26" s="91"/>
      <c r="CS26" s="91"/>
      <c r="CT26" s="91"/>
      <c r="CU26" s="91"/>
      <c r="CV26" s="91"/>
      <c r="CW26" s="91"/>
      <c r="CX26" s="91"/>
      <c r="CY26" s="91"/>
      <c r="CZ26" s="91"/>
      <c r="DA26" s="91"/>
      <c r="DB26" s="91"/>
      <c r="DC26" s="91"/>
      <c r="DD26" s="41"/>
      <c r="DE26" s="55"/>
      <c r="DF26" s="9"/>
      <c r="DG26" s="9">
        <v>110</v>
      </c>
      <c r="DH26" s="9">
        <v>111</v>
      </c>
      <c r="DI26" s="9">
        <v>112</v>
      </c>
    </row>
    <row r="27" spans="2:113" ht="15.6" thickBot="1" x14ac:dyDescent="0.4">
      <c r="B27" s="34"/>
      <c r="C27" s="35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35"/>
      <c r="BU27" s="38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5"/>
      <c r="CY27" s="35"/>
      <c r="CZ27" s="35"/>
      <c r="DA27" s="35"/>
      <c r="DB27" s="35"/>
      <c r="DC27" s="35"/>
      <c r="DD27" s="35"/>
      <c r="DE27" s="39"/>
    </row>
    <row r="28" spans="2:113" x14ac:dyDescent="0.35">
      <c r="B28" s="34"/>
      <c r="C28" s="35"/>
      <c r="D28" s="70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  <c r="Q28" s="71"/>
      <c r="R28" s="71"/>
      <c r="S28" s="72"/>
      <c r="T28" s="35"/>
      <c r="U28" s="35"/>
      <c r="V28" s="35"/>
      <c r="W28" s="117" t="s">
        <v>159</v>
      </c>
      <c r="X28" s="117"/>
      <c r="Y28" s="117"/>
      <c r="Z28" s="117"/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35"/>
      <c r="BU28" s="38"/>
      <c r="BV28" s="35"/>
      <c r="BW28" s="35"/>
      <c r="BX28" s="96" t="s">
        <v>136</v>
      </c>
      <c r="BY28" s="96"/>
      <c r="BZ28" s="96"/>
      <c r="CA28" s="96"/>
      <c r="CB28" s="96"/>
      <c r="CC28" s="96"/>
      <c r="CD28" s="96"/>
      <c r="CE28" s="35"/>
      <c r="CF28" s="35"/>
      <c r="CG28" s="35"/>
      <c r="CH28" s="35"/>
      <c r="CI28" s="35"/>
      <c r="CJ28" s="35"/>
      <c r="CK28" s="35"/>
      <c r="CL28" s="35"/>
      <c r="CM28" s="35"/>
      <c r="CN28" s="35"/>
      <c r="CO28" s="35"/>
      <c r="CP28" s="35"/>
      <c r="CQ28" s="35"/>
      <c r="CR28" s="35"/>
      <c r="CS28" s="35"/>
      <c r="CT28" s="35"/>
      <c r="CU28" s="35"/>
      <c r="CV28" s="35"/>
      <c r="CW28" s="35"/>
      <c r="CX28" s="35"/>
      <c r="CY28" s="35"/>
      <c r="CZ28" s="35"/>
      <c r="DA28" s="35"/>
      <c r="DB28" s="35"/>
      <c r="DC28" s="35"/>
      <c r="DD28" s="35"/>
      <c r="DE28" s="39"/>
    </row>
    <row r="29" spans="2:113" x14ac:dyDescent="0.35">
      <c r="B29" s="34"/>
      <c r="C29" s="35"/>
      <c r="D29" s="73"/>
      <c r="E29" s="123" t="s">
        <v>162</v>
      </c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3"/>
      <c r="Q29" s="123"/>
      <c r="R29" s="123"/>
      <c r="S29" s="74"/>
      <c r="T29" s="35"/>
      <c r="U29" s="35"/>
      <c r="V29" s="35"/>
      <c r="W29" s="112" t="s">
        <v>160</v>
      </c>
      <c r="X29" s="112"/>
      <c r="Y29" s="112"/>
      <c r="Z29" s="112"/>
      <c r="AA29" s="112"/>
      <c r="AB29" s="112"/>
      <c r="AC29" s="112"/>
      <c r="AD29" s="118" t="s">
        <v>161</v>
      </c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35"/>
      <c r="BU29" s="38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5"/>
      <c r="CY29" s="35"/>
      <c r="CZ29" s="35"/>
      <c r="DA29" s="35"/>
      <c r="DB29" s="35"/>
      <c r="DC29" s="35"/>
      <c r="DD29" s="35"/>
      <c r="DE29" s="39"/>
    </row>
    <row r="30" spans="2:113" ht="15.6" thickBot="1" x14ac:dyDescent="0.4">
      <c r="B30" s="34"/>
      <c r="C30" s="35"/>
      <c r="D30" s="73"/>
      <c r="E30" s="75"/>
      <c r="F30" s="75"/>
      <c r="G30" s="75"/>
      <c r="H30" s="75"/>
      <c r="I30" s="75"/>
      <c r="J30" s="75"/>
      <c r="K30" s="75"/>
      <c r="L30" s="75"/>
      <c r="M30" s="75"/>
      <c r="N30" s="75"/>
      <c r="O30" s="75"/>
      <c r="P30" s="75"/>
      <c r="Q30" s="75"/>
      <c r="R30" s="75"/>
      <c r="S30" s="74"/>
      <c r="T30" s="35"/>
      <c r="U30" s="35"/>
      <c r="V30" s="35"/>
      <c r="W30" s="126"/>
      <c r="X30" s="127"/>
      <c r="Y30" s="127"/>
      <c r="Z30" s="127"/>
      <c r="AA30" s="127"/>
      <c r="AB30" s="127"/>
      <c r="AC30" s="127"/>
      <c r="AD30" s="110">
        <f>AJ30*$AK$36</f>
        <v>12.521516842937512</v>
      </c>
      <c r="AE30" s="110"/>
      <c r="AF30" s="110"/>
      <c r="AG30" s="110"/>
      <c r="AH30" s="110"/>
      <c r="AI30" s="110"/>
      <c r="AJ30" s="110">
        <f>AP30*$AK$36</f>
        <v>12.636616637667618</v>
      </c>
      <c r="AK30" s="110"/>
      <c r="AL30" s="110"/>
      <c r="AM30" s="110"/>
      <c r="AN30" s="110"/>
      <c r="AO30" s="110"/>
      <c r="AP30" s="110">
        <f>AV30*$AK$36</f>
        <v>12.752774448204683</v>
      </c>
      <c r="AQ30" s="110"/>
      <c r="AR30" s="110"/>
      <c r="AS30" s="110"/>
      <c r="AT30" s="110"/>
      <c r="AU30" s="110"/>
      <c r="AV30" s="124">
        <f>CY2</f>
        <v>12.87</v>
      </c>
      <c r="AW30" s="124"/>
      <c r="AX30" s="124"/>
      <c r="AY30" s="124"/>
      <c r="AZ30" s="124"/>
      <c r="BA30" s="124"/>
      <c r="BB30" s="110">
        <f>AV30*$AE$36</f>
        <v>12.988303107902777</v>
      </c>
      <c r="BC30" s="110"/>
      <c r="BD30" s="110"/>
      <c r="BE30" s="110"/>
      <c r="BF30" s="110"/>
      <c r="BG30" s="110"/>
      <c r="BH30" s="110">
        <f>BB30*$AE$36</f>
        <v>13.10769367698189</v>
      </c>
      <c r="BI30" s="110"/>
      <c r="BJ30" s="110"/>
      <c r="BK30" s="110"/>
      <c r="BL30" s="110"/>
      <c r="BM30" s="110"/>
      <c r="BN30" s="110">
        <f>BH30*$AE$36</f>
        <v>13.228181703355203</v>
      </c>
      <c r="BO30" s="110"/>
      <c r="BP30" s="110"/>
      <c r="BQ30" s="110"/>
      <c r="BR30" s="110"/>
      <c r="BS30" s="110"/>
      <c r="BT30" s="35"/>
      <c r="BU30" s="38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5"/>
      <c r="CU30" s="35"/>
      <c r="CV30" s="35"/>
      <c r="CW30" s="35"/>
      <c r="CX30" s="35"/>
      <c r="CY30" s="35"/>
      <c r="CZ30" s="35"/>
      <c r="DA30" s="35"/>
      <c r="DB30" s="35"/>
      <c r="DC30" s="35"/>
      <c r="DD30" s="35"/>
      <c r="DE30" s="39"/>
    </row>
    <row r="31" spans="2:113" ht="15.6" thickTop="1" x14ac:dyDescent="0.35">
      <c r="B31" s="34"/>
      <c r="C31" s="35"/>
      <c r="D31" s="73"/>
      <c r="E31" s="105" t="s">
        <v>158</v>
      </c>
      <c r="F31" s="105"/>
      <c r="G31" s="105"/>
      <c r="H31" s="105"/>
      <c r="I31" s="105"/>
      <c r="J31" s="105"/>
      <c r="K31" s="105"/>
      <c r="L31" s="107" cm="1">
        <f t="array" ref="L31">ImpliedVolatility(K7,AB7,K8,AB8,AB10,K9,K12)</f>
        <v>0.43134333801269525</v>
      </c>
      <c r="M31" s="108"/>
      <c r="N31" s="108"/>
      <c r="O31" s="108"/>
      <c r="P31" s="108"/>
      <c r="Q31" s="108"/>
      <c r="R31" s="108"/>
      <c r="S31" s="74"/>
      <c r="T31" s="35"/>
      <c r="U31" s="35"/>
      <c r="V31" s="35"/>
      <c r="W31" s="111">
        <f>W32-2%</f>
        <v>0.39134333801269522</v>
      </c>
      <c r="X31" s="112"/>
      <c r="Y31" s="112"/>
      <c r="Z31" s="112"/>
      <c r="AA31" s="112"/>
      <c r="AB31" s="112"/>
      <c r="AC31" s="112"/>
      <c r="AD31" s="119" cm="1">
        <f t="array" ref="AD31">OptionPrice($K$7,AD$30,$K$8,$AB$8,$AB$10,$W31,$K$9,"BSM")*$K$10</f>
        <v>31.409066648904975</v>
      </c>
      <c r="AE31" s="119"/>
      <c r="AF31" s="119"/>
      <c r="AG31" s="119"/>
      <c r="AH31" s="119"/>
      <c r="AI31" s="119"/>
      <c r="AJ31" s="119" cm="1">
        <f t="array" ref="AJ31">OptionPrice($K$7,AJ$30,$K$8,$AB$8,$AB$10,$W31,$K$9,"BSM")*$K$10</f>
        <v>37.544992994722875</v>
      </c>
      <c r="AK31" s="119"/>
      <c r="AL31" s="119"/>
      <c r="AM31" s="119"/>
      <c r="AN31" s="119"/>
      <c r="AO31" s="119"/>
      <c r="AP31" s="119" cm="1">
        <f t="array" ref="AP31">OptionPrice($K$7,AP$30,$K$8,$AB$8,$AB$10,$W31,$K$9,"BSM")*$K$10</f>
        <v>44.387769613467782</v>
      </c>
      <c r="AQ31" s="119"/>
      <c r="AR31" s="119"/>
      <c r="AS31" s="119"/>
      <c r="AT31" s="119"/>
      <c r="AU31" s="119"/>
      <c r="AV31" s="125" cm="1">
        <f t="array" ref="AV31">OptionPrice($K$7,AV$30,$K$8,$AB$8,$AB$10,$W31,$K$9,"BSM")*$K$10</f>
        <v>51.922266645395879</v>
      </c>
      <c r="AW31" s="125"/>
      <c r="AX31" s="125"/>
      <c r="AY31" s="125"/>
      <c r="AZ31" s="125"/>
      <c r="BA31" s="125"/>
      <c r="BB31" s="119" cm="1">
        <f t="array" ref="BB31">OptionPrice($K$7,BB$30,$K$8,$AB$8,$AB$10,$W31,$K$9,"BSM")*$K$10</f>
        <v>60.133394062122868</v>
      </c>
      <c r="BC31" s="119"/>
      <c r="BD31" s="119"/>
      <c r="BE31" s="119"/>
      <c r="BF31" s="119"/>
      <c r="BG31" s="119"/>
      <c r="BH31" s="119" cm="1">
        <f t="array" ref="BH31">OptionPrice($K$7,BH$30,$K$8,$AB$8,$AB$10,$W31,$K$9,"BSM")*$K$10</f>
        <v>68.989588221852415</v>
      </c>
      <c r="BI31" s="119"/>
      <c r="BJ31" s="119"/>
      <c r="BK31" s="119"/>
      <c r="BL31" s="119"/>
      <c r="BM31" s="119"/>
      <c r="BN31" s="119" cm="1">
        <f t="array" ref="BN31">OptionPrice($K$7,BN$30,$K$8,$AB$8,$AB$10,$W31,$K$9,"BSM")*$K$10</f>
        <v>78.45043207380364</v>
      </c>
      <c r="BO31" s="119"/>
      <c r="BP31" s="119"/>
      <c r="BQ31" s="119"/>
      <c r="BR31" s="119"/>
      <c r="BS31" s="119"/>
      <c r="BT31" s="35"/>
      <c r="BU31" s="38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5"/>
      <c r="CU31" s="35"/>
      <c r="CV31" s="35"/>
      <c r="CW31" s="35"/>
      <c r="CX31" s="35"/>
      <c r="CY31" s="35"/>
      <c r="CZ31" s="35"/>
      <c r="DA31" s="35"/>
      <c r="DB31" s="35"/>
      <c r="DC31" s="35"/>
      <c r="DD31" s="35"/>
      <c r="DE31" s="39"/>
    </row>
    <row r="32" spans="2:113" x14ac:dyDescent="0.35">
      <c r="B32" s="34"/>
      <c r="C32" s="35"/>
      <c r="D32" s="73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  <c r="Q32" s="75"/>
      <c r="R32" s="75"/>
      <c r="S32" s="74"/>
      <c r="T32" s="35"/>
      <c r="U32" s="35"/>
      <c r="V32" s="35"/>
      <c r="W32" s="111">
        <f>W33-2%</f>
        <v>0.41134333801269524</v>
      </c>
      <c r="X32" s="112"/>
      <c r="Y32" s="112"/>
      <c r="Z32" s="112"/>
      <c r="AA32" s="112"/>
      <c r="AB32" s="112"/>
      <c r="AC32" s="112"/>
      <c r="AD32" s="119" cm="1">
        <f t="array" ref="AD32">OptionPrice($K$7,AD$30,$K$8,$AB$8,$AB$10,$W32,$K$9,"BSM")*$K$10</f>
        <v>33.047116665614318</v>
      </c>
      <c r="AE32" s="119"/>
      <c r="AF32" s="119"/>
      <c r="AG32" s="119"/>
      <c r="AH32" s="119"/>
      <c r="AI32" s="119"/>
      <c r="AJ32" s="119" cm="1">
        <f t="array" ref="AJ32">OptionPrice($K$7,AJ$30,$K$8,$AB$8,$AB$10,$W32,$K$9,"BSM")*$K$10</f>
        <v>39.1784467973308</v>
      </c>
      <c r="AK32" s="119"/>
      <c r="AL32" s="119"/>
      <c r="AM32" s="119"/>
      <c r="AN32" s="119"/>
      <c r="AO32" s="119"/>
      <c r="AP32" s="119" cm="1">
        <f t="array" ref="AP32">OptionPrice($K$7,AP$30,$K$8,$AB$8,$AB$10,$W32,$K$9,"BSM")*$K$10</f>
        <v>45.985591020030611</v>
      </c>
      <c r="AQ32" s="119"/>
      <c r="AR32" s="119"/>
      <c r="AS32" s="119"/>
      <c r="AT32" s="119"/>
      <c r="AU32" s="119"/>
      <c r="AV32" s="125" cm="1">
        <f t="array" ref="AV32">OptionPrice($K$7,AV$30,$K$8,$AB$8,$AB$10,$W32,$K$9,"BSM")*$K$10</f>
        <v>53.45548371836729</v>
      </c>
      <c r="AW32" s="125"/>
      <c r="AX32" s="125"/>
      <c r="AY32" s="125"/>
      <c r="AZ32" s="125"/>
      <c r="BA32" s="125"/>
      <c r="BB32" s="119" cm="1">
        <f t="array" ref="BB32">OptionPrice($K$7,BB$30,$K$8,$AB$8,$AB$10,$W32,$K$9,"BSM")*$K$10</f>
        <v>61.576589102915648</v>
      </c>
      <c r="BC32" s="119"/>
      <c r="BD32" s="119"/>
      <c r="BE32" s="119"/>
      <c r="BF32" s="119"/>
      <c r="BG32" s="119"/>
      <c r="BH32" s="119" cm="1">
        <f t="array" ref="BH32">OptionPrice($K$7,BH$30,$K$8,$AB$8,$AB$10,$W32,$K$9,"BSM")*$K$10</f>
        <v>70.32216519951406</v>
      </c>
      <c r="BI32" s="119"/>
      <c r="BJ32" s="119"/>
      <c r="BK32" s="119"/>
      <c r="BL32" s="119"/>
      <c r="BM32" s="119"/>
      <c r="BN32" s="119" cm="1">
        <f t="array" ref="BN32">OptionPrice($K$7,BN$30,$K$8,$AB$8,$AB$10,$W32,$K$9,"BSM")*$K$10</f>
        <v>79.657435850588826</v>
      </c>
      <c r="BO32" s="119"/>
      <c r="BP32" s="119"/>
      <c r="BQ32" s="119"/>
      <c r="BR32" s="119"/>
      <c r="BS32" s="119"/>
      <c r="BT32" s="35"/>
      <c r="BU32" s="38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5"/>
      <c r="CU32" s="35"/>
      <c r="CV32" s="35"/>
      <c r="CW32" s="35"/>
      <c r="CX32" s="35"/>
      <c r="CY32" s="35"/>
      <c r="CZ32" s="35"/>
      <c r="DA32" s="35"/>
      <c r="DB32" s="35"/>
      <c r="DC32" s="35"/>
      <c r="DD32" s="35"/>
      <c r="DE32" s="39"/>
    </row>
    <row r="33" spans="2:109" x14ac:dyDescent="0.35">
      <c r="B33" s="34"/>
      <c r="C33" s="35"/>
      <c r="D33" s="73"/>
      <c r="E33" s="105" t="s">
        <v>153</v>
      </c>
      <c r="F33" s="105"/>
      <c r="G33" s="105"/>
      <c r="H33" s="105"/>
      <c r="I33" s="105"/>
      <c r="J33" s="105"/>
      <c r="K33" s="105"/>
      <c r="L33" s="106" cm="1">
        <f t="array" ref="L33">Greeks($K$7,$AB$7,$K$8,$AB$8,$AB$10,$AB$9,$K$9,E33)</f>
        <v>0.68317584569293166</v>
      </c>
      <c r="M33" s="106"/>
      <c r="N33" s="106"/>
      <c r="O33" s="106"/>
      <c r="P33" s="106"/>
      <c r="Q33" s="106"/>
      <c r="R33" s="106"/>
      <c r="S33" s="74"/>
      <c r="T33" s="35"/>
      <c r="U33" s="35"/>
      <c r="V33" s="35"/>
      <c r="W33" s="113">
        <f>L31</f>
        <v>0.43134333801269525</v>
      </c>
      <c r="X33" s="114"/>
      <c r="Y33" s="114"/>
      <c r="Z33" s="114"/>
      <c r="AA33" s="114"/>
      <c r="AB33" s="114"/>
      <c r="AC33" s="114"/>
      <c r="AD33" s="125" cm="1">
        <f t="array" ref="AD33">OptionPrice($K$7,AD$30,$K$8,$AB$8,$AB$10,$W33,$K$9,"BSM")*$K$10</f>
        <v>34.685095263801209</v>
      </c>
      <c r="AE33" s="125"/>
      <c r="AF33" s="125"/>
      <c r="AG33" s="125"/>
      <c r="AH33" s="125"/>
      <c r="AI33" s="125"/>
      <c r="AJ33" s="125" cm="1">
        <f t="array" ref="AJ33">OptionPrice($K$7,AJ$30,$K$8,$AB$8,$AB$10,$W33,$K$9,"BSM")*$K$10</f>
        <v>40.812948352352713</v>
      </c>
      <c r="AK33" s="125"/>
      <c r="AL33" s="125"/>
      <c r="AM33" s="125"/>
      <c r="AN33" s="125"/>
      <c r="AO33" s="125"/>
      <c r="AP33" s="125" cm="1">
        <f t="array" ref="AP33">OptionPrice($K$7,AP$30,$K$8,$AB$8,$AB$10,$W33,$K$9,"BSM")*$K$10</f>
        <v>47.588390773431925</v>
      </c>
      <c r="AQ33" s="125"/>
      <c r="AR33" s="125"/>
      <c r="AS33" s="125"/>
      <c r="AT33" s="125"/>
      <c r="AU33" s="125"/>
      <c r="AV33" s="130" cm="1">
        <f t="array" ref="AV33">OptionPrice($K$7,AV$30,$K$8,$AB$8,$AB$10,$W33,$K$9,"BSM")*$K$10</f>
        <v>55.000030095762988</v>
      </c>
      <c r="AW33" s="130"/>
      <c r="AX33" s="130"/>
      <c r="AY33" s="130"/>
      <c r="AZ33" s="130"/>
      <c r="BA33" s="130"/>
      <c r="BB33" s="125" cm="1">
        <f t="array" ref="BB33">OptionPrice($K$7,BB$30,$K$8,$AB$8,$AB$10,$W33,$K$9,"BSM")*$K$10</f>
        <v>63.039248049548078</v>
      </c>
      <c r="BC33" s="125"/>
      <c r="BD33" s="125"/>
      <c r="BE33" s="125"/>
      <c r="BF33" s="125"/>
      <c r="BG33" s="125"/>
      <c r="BH33" s="125" cm="1">
        <f t="array" ref="BH33">OptionPrice($K$7,BH$30,$K$8,$AB$8,$AB$10,$W33,$K$9,"BSM")*$K$10</f>
        <v>71.683313120097267</v>
      </c>
      <c r="BI33" s="125"/>
      <c r="BJ33" s="125"/>
      <c r="BK33" s="125"/>
      <c r="BL33" s="125"/>
      <c r="BM33" s="125"/>
      <c r="BN33" s="125" cm="1">
        <f t="array" ref="BN33">OptionPrice($K$7,BN$30,$K$8,$AB$8,$AB$10,$W33,$K$9,"BSM")*$K$10</f>
        <v>80.902209165124333</v>
      </c>
      <c r="BO33" s="125"/>
      <c r="BP33" s="125"/>
      <c r="BQ33" s="125"/>
      <c r="BR33" s="125"/>
      <c r="BS33" s="125"/>
      <c r="BT33" s="35"/>
      <c r="BU33" s="38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5"/>
      <c r="CU33" s="35"/>
      <c r="CV33" s="35"/>
      <c r="CW33" s="35"/>
      <c r="CX33" s="35"/>
      <c r="CY33" s="35"/>
      <c r="CZ33" s="35"/>
      <c r="DA33" s="35"/>
      <c r="DB33" s="35"/>
      <c r="DC33" s="35"/>
      <c r="DD33" s="35"/>
      <c r="DE33" s="39"/>
    </row>
    <row r="34" spans="2:109" x14ac:dyDescent="0.35">
      <c r="B34" s="34"/>
      <c r="C34" s="35"/>
      <c r="D34" s="73"/>
      <c r="E34" s="75"/>
      <c r="F34" s="75"/>
      <c r="G34" s="75"/>
      <c r="H34" s="75"/>
      <c r="I34" s="75"/>
      <c r="J34" s="75"/>
      <c r="K34" s="75"/>
      <c r="L34" s="75"/>
      <c r="M34" s="75"/>
      <c r="N34" s="75"/>
      <c r="O34" s="75"/>
      <c r="P34" s="75"/>
      <c r="Q34" s="75"/>
      <c r="R34" s="75"/>
      <c r="S34" s="74"/>
      <c r="T34" s="35"/>
      <c r="U34" s="35"/>
      <c r="V34" s="35"/>
      <c r="W34" s="111">
        <f>W33+2%</f>
        <v>0.45134333801269527</v>
      </c>
      <c r="X34" s="112"/>
      <c r="Y34" s="112"/>
      <c r="Z34" s="112"/>
      <c r="AA34" s="112"/>
      <c r="AB34" s="112"/>
      <c r="AC34" s="112"/>
      <c r="AD34" s="119" cm="1">
        <f t="array" ref="AD34">OptionPrice($K$7,AD$30,$K$8,$AB$8,$AB$10,$W34,$K$9,"BSM")*$K$10</f>
        <v>36.322995401844544</v>
      </c>
      <c r="AE34" s="119"/>
      <c r="AF34" s="119"/>
      <c r="AG34" s="119"/>
      <c r="AH34" s="119"/>
      <c r="AI34" s="119"/>
      <c r="AJ34" s="119" cm="1">
        <f t="array" ref="AJ34">OptionPrice($K$7,AJ$30,$K$8,$AB$8,$AB$10,$W34,$K$9,"BSM")*$K$10</f>
        <v>42.448342407722848</v>
      </c>
      <c r="AK34" s="119"/>
      <c r="AL34" s="119"/>
      <c r="AM34" s="119"/>
      <c r="AN34" s="119"/>
      <c r="AO34" s="119"/>
      <c r="AP34" s="119" cm="1">
        <f t="array" ref="AP34">OptionPrice($K$7,AP$30,$K$8,$AB$8,$AB$10,$W34,$K$9,"BSM")*$K$10</f>
        <v>49.195503425267859</v>
      </c>
      <c r="AQ34" s="119"/>
      <c r="AR34" s="119"/>
      <c r="AS34" s="119"/>
      <c r="AT34" s="119"/>
      <c r="AU34" s="119"/>
      <c r="AV34" s="125" cm="1">
        <f t="array" ref="AV34">OptionPrice($K$7,AV$30,$K$8,$AB$8,$AB$10,$W34,$K$9,"BSM")*$K$10</f>
        <v>56.554451900350024</v>
      </c>
      <c r="AW34" s="125"/>
      <c r="AX34" s="125"/>
      <c r="AY34" s="125"/>
      <c r="AZ34" s="125"/>
      <c r="BA34" s="125"/>
      <c r="BB34" s="119" cm="1">
        <f t="array" ref="BB34">OptionPrice($K$7,BB$30,$K$8,$AB$8,$AB$10,$W34,$K$9,"BSM")*$K$10</f>
        <v>64.518981340331479</v>
      </c>
      <c r="BC34" s="119"/>
      <c r="BD34" s="119"/>
      <c r="BE34" s="119"/>
      <c r="BF34" s="119"/>
      <c r="BG34" s="119"/>
      <c r="BH34" s="119" cm="1">
        <f t="array" ref="BH34">OptionPrice($K$7,BH$30,$K$8,$AB$8,$AB$10,$W34,$K$9,"BSM")*$K$10</f>
        <v>73.069716380104722</v>
      </c>
      <c r="BI34" s="119"/>
      <c r="BJ34" s="119"/>
      <c r="BK34" s="119"/>
      <c r="BL34" s="119"/>
      <c r="BM34" s="119"/>
      <c r="BN34" s="119" cm="1">
        <f t="array" ref="BN34">OptionPrice($K$7,BN$30,$K$8,$AB$8,$AB$10,$W34,$K$9,"BSM")*$K$10</f>
        <v>82.180675730832704</v>
      </c>
      <c r="BO34" s="119"/>
      <c r="BP34" s="119"/>
      <c r="BQ34" s="119"/>
      <c r="BR34" s="119"/>
      <c r="BS34" s="119"/>
      <c r="BT34" s="35"/>
      <c r="BU34" s="38"/>
      <c r="BV34" s="35"/>
      <c r="BW34" s="35"/>
      <c r="BX34" s="35"/>
      <c r="BY34" s="35"/>
      <c r="BZ34" s="35"/>
      <c r="CA34" s="35"/>
      <c r="CB34" s="35"/>
      <c r="CC34" s="35"/>
      <c r="CD34" s="35"/>
      <c r="CE34" s="35"/>
      <c r="CF34" s="35"/>
      <c r="CG34" s="35"/>
      <c r="CH34" s="35"/>
      <c r="CI34" s="35"/>
      <c r="CJ34" s="35"/>
      <c r="CK34" s="35"/>
      <c r="CL34" s="35"/>
      <c r="CM34" s="35"/>
      <c r="CN34" s="35"/>
      <c r="CO34" s="35"/>
      <c r="CP34" s="35"/>
      <c r="CQ34" s="35"/>
      <c r="CR34" s="35"/>
      <c r="CS34" s="35"/>
      <c r="CT34" s="35"/>
      <c r="CU34" s="35"/>
      <c r="CV34" s="35"/>
      <c r="CW34" s="35"/>
      <c r="CX34" s="35"/>
      <c r="CY34" s="35"/>
      <c r="CZ34" s="35"/>
      <c r="DA34" s="35"/>
      <c r="DB34" s="35"/>
      <c r="DC34" s="35"/>
      <c r="DD34" s="35"/>
      <c r="DE34" s="39"/>
    </row>
    <row r="35" spans="2:109" ht="15.6" thickBot="1" x14ac:dyDescent="0.4">
      <c r="B35" s="34"/>
      <c r="C35" s="35"/>
      <c r="D35" s="73"/>
      <c r="E35" s="105" t="s">
        <v>154</v>
      </c>
      <c r="F35" s="105"/>
      <c r="G35" s="105"/>
      <c r="H35" s="105"/>
      <c r="I35" s="105"/>
      <c r="J35" s="105"/>
      <c r="K35" s="105"/>
      <c r="L35" s="109" cm="1">
        <f t="array" ref="L35">Greeks($K$7,$AB$7,$K$8,$AB$8,$AB$10,$AB$9,$K$9,E35)</f>
        <v>0.47225404459108217</v>
      </c>
      <c r="M35" s="109"/>
      <c r="N35" s="109"/>
      <c r="O35" s="109"/>
      <c r="P35" s="109"/>
      <c r="Q35" s="109"/>
      <c r="R35" s="109"/>
      <c r="S35" s="74"/>
      <c r="T35" s="35"/>
      <c r="U35" s="35"/>
      <c r="V35" s="35"/>
      <c r="W35" s="115">
        <f>W34+2%</f>
        <v>0.47134333801269529</v>
      </c>
      <c r="X35" s="116"/>
      <c r="Y35" s="116"/>
      <c r="Z35" s="116"/>
      <c r="AA35" s="116"/>
      <c r="AB35" s="116"/>
      <c r="AC35" s="116"/>
      <c r="AD35" s="128" cm="1">
        <f t="array" ref="AD35">OptionPrice($K$7,AD$30,$K$8,$AB$8,$AB$10,$W35,$K$9,"BSM")*$K$10</f>
        <v>37.960810483084408</v>
      </c>
      <c r="AE35" s="128"/>
      <c r="AF35" s="128"/>
      <c r="AG35" s="128"/>
      <c r="AH35" s="128"/>
      <c r="AI35" s="128"/>
      <c r="AJ35" s="128" cm="1">
        <f t="array" ref="AJ35">OptionPrice($K$7,AJ$30,$K$8,$AB$8,$AB$10,$W35,$K$9,"BSM")*$K$10</f>
        <v>44.084499180598762</v>
      </c>
      <c r="AK35" s="128"/>
      <c r="AL35" s="128"/>
      <c r="AM35" s="128"/>
      <c r="AN35" s="128"/>
      <c r="AO35" s="128"/>
      <c r="AP35" s="128" cm="1">
        <f t="array" ref="AP35">OptionPrice($K$7,AP$30,$K$8,$AB$8,$AB$10,$W35,$K$9,"BSM")*$K$10</f>
        <v>50.806373150274432</v>
      </c>
      <c r="AQ35" s="128"/>
      <c r="AR35" s="128"/>
      <c r="AS35" s="128"/>
      <c r="AT35" s="128"/>
      <c r="AU35" s="128"/>
      <c r="AV35" s="129" cm="1">
        <f t="array" ref="AV35">OptionPrice($K$7,AV$30,$K$8,$AB$8,$AB$10,$W35,$K$9,"BSM")*$K$10</f>
        <v>58.117527893032239</v>
      </c>
      <c r="AW35" s="129"/>
      <c r="AX35" s="129"/>
      <c r="AY35" s="129"/>
      <c r="AZ35" s="129"/>
      <c r="BA35" s="129"/>
      <c r="BB35" s="128" cm="1">
        <f t="array" ref="BB35">OptionPrice($K$7,BB$30,$K$8,$AB$8,$AB$10,$W35,$K$9,"BSM")*$K$10</f>
        <v>66.013763481487658</v>
      </c>
      <c r="BC35" s="128"/>
      <c r="BD35" s="128"/>
      <c r="BE35" s="128"/>
      <c r="BF35" s="128"/>
      <c r="BG35" s="128"/>
      <c r="BH35" s="128" cm="1">
        <f t="array" ref="BH35">OptionPrice($K$7,BH$30,$K$8,$AB$8,$AB$10,$W35,$K$9,"BSM")*$K$10</f>
        <v>74.478529241752241</v>
      </c>
      <c r="BI35" s="128"/>
      <c r="BJ35" s="128"/>
      <c r="BK35" s="128"/>
      <c r="BL35" s="128"/>
      <c r="BM35" s="128"/>
      <c r="BN35" s="128" cm="1">
        <f t="array" ref="BN35">OptionPrice($K$7,BN$30,$K$8,$AB$8,$AB$10,$W35,$K$9,"BSM")*$K$10</f>
        <v>83.489279268303946</v>
      </c>
      <c r="BO35" s="128"/>
      <c r="BP35" s="128"/>
      <c r="BQ35" s="128"/>
      <c r="BR35" s="128"/>
      <c r="BS35" s="128"/>
      <c r="BT35" s="35"/>
      <c r="BU35" s="38"/>
      <c r="BV35" s="35"/>
      <c r="BW35" s="35"/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5"/>
      <c r="CU35" s="35"/>
      <c r="CV35" s="35"/>
      <c r="CW35" s="35"/>
      <c r="CX35" s="35"/>
      <c r="CY35" s="35"/>
      <c r="CZ35" s="35"/>
      <c r="DA35" s="35"/>
      <c r="DB35" s="35"/>
      <c r="DC35" s="35"/>
      <c r="DD35" s="35"/>
      <c r="DE35" s="39"/>
    </row>
    <row r="36" spans="2:109" x14ac:dyDescent="0.35">
      <c r="B36" s="34"/>
      <c r="C36" s="35"/>
      <c r="D36" s="73"/>
      <c r="E36" s="75"/>
      <c r="F36" s="75"/>
      <c r="G36" s="75"/>
      <c r="H36" s="75"/>
      <c r="I36" s="75"/>
      <c r="J36" s="75"/>
      <c r="K36" s="75"/>
      <c r="L36" s="75"/>
      <c r="M36" s="75"/>
      <c r="N36" s="75"/>
      <c r="O36" s="75"/>
      <c r="P36" s="75"/>
      <c r="Q36" s="75"/>
      <c r="R36" s="75"/>
      <c r="S36" s="74"/>
      <c r="T36" s="35"/>
      <c r="U36" s="35"/>
      <c r="V36" s="35"/>
      <c r="W36" s="120" t="s">
        <v>164</v>
      </c>
      <c r="X36" s="120"/>
      <c r="Y36" s="121">
        <f ca="1">(K9+16/20-NOW())/252</f>
        <v>2.7538066762211939E-2</v>
      </c>
      <c r="Z36" s="121"/>
      <c r="AA36" s="121"/>
      <c r="AB36" s="121"/>
      <c r="AC36" s="120" t="s">
        <v>165</v>
      </c>
      <c r="AD36" s="120"/>
      <c r="AE36" s="122">
        <f>EXP(L31*SQRT(252*LN(1+AB8/252)))</f>
        <v>1.0091921606762064</v>
      </c>
      <c r="AF36" s="122"/>
      <c r="AG36" s="122"/>
      <c r="AH36" s="122"/>
      <c r="AI36" s="120" t="s">
        <v>166</v>
      </c>
      <c r="AJ36" s="120"/>
      <c r="AK36" s="122">
        <f>1/AE36</f>
        <v>0.99089156551706936</v>
      </c>
      <c r="AL36" s="122"/>
      <c r="AM36" s="122"/>
      <c r="AN36" s="122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L36" s="66" t="s">
        <v>174</v>
      </c>
      <c r="BM36" s="35"/>
      <c r="BN36" s="35"/>
      <c r="BO36" s="35"/>
      <c r="BP36" s="35"/>
      <c r="BQ36" s="35"/>
      <c r="BR36" s="35"/>
      <c r="BS36" s="35"/>
      <c r="BT36" s="35"/>
      <c r="BU36" s="38"/>
      <c r="BV36" s="35"/>
      <c r="BW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5"/>
      <c r="CU36" s="35"/>
      <c r="CV36" s="35"/>
      <c r="CW36" s="35"/>
      <c r="CX36" s="35"/>
      <c r="CY36" s="35"/>
      <c r="CZ36" s="35"/>
      <c r="DA36" s="35"/>
      <c r="DB36" s="35"/>
      <c r="DC36" s="35"/>
      <c r="DD36" s="35"/>
      <c r="DE36" s="39"/>
    </row>
    <row r="37" spans="2:109" x14ac:dyDescent="0.35">
      <c r="B37" s="34"/>
      <c r="C37" s="35"/>
      <c r="D37" s="73"/>
      <c r="E37" s="105" t="s">
        <v>155</v>
      </c>
      <c r="F37" s="105"/>
      <c r="G37" s="105"/>
      <c r="H37" s="105"/>
      <c r="I37" s="105"/>
      <c r="J37" s="105"/>
      <c r="K37" s="105"/>
      <c r="L37" s="106" cm="1">
        <f t="array" ref="L37">Greeks($K$7,$AB$7,$K$8,$AB$8,$AB$10,$AB$9,$K$9,E37)</f>
        <v>-4.0080527625638673</v>
      </c>
      <c r="M37" s="106"/>
      <c r="N37" s="106"/>
      <c r="O37" s="106"/>
      <c r="P37" s="106"/>
      <c r="Q37" s="106"/>
      <c r="R37" s="106"/>
      <c r="S37" s="74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8"/>
      <c r="BV37" s="35"/>
      <c r="BW37" s="35"/>
      <c r="BX37" s="96" t="s">
        <v>137</v>
      </c>
      <c r="BY37" s="96"/>
      <c r="BZ37" s="96"/>
      <c r="CA37" s="96"/>
      <c r="CB37" s="96"/>
      <c r="CC37" s="96"/>
      <c r="CD37" s="96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9"/>
    </row>
    <row r="38" spans="2:109" x14ac:dyDescent="0.35">
      <c r="B38" s="34"/>
      <c r="C38" s="35"/>
      <c r="D38" s="73"/>
      <c r="E38" s="75"/>
      <c r="F38" s="75"/>
      <c r="G38" s="75"/>
      <c r="H38" s="75"/>
      <c r="I38" s="75"/>
      <c r="J38" s="75"/>
      <c r="K38" s="75"/>
      <c r="L38" s="75"/>
      <c r="M38" s="75"/>
      <c r="N38" s="75"/>
      <c r="O38" s="75"/>
      <c r="P38" s="75"/>
      <c r="Q38" s="75"/>
      <c r="R38" s="75"/>
      <c r="S38" s="74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8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9"/>
    </row>
    <row r="39" spans="2:109" x14ac:dyDescent="0.35">
      <c r="B39" s="34"/>
      <c r="C39" s="35"/>
      <c r="D39" s="73"/>
      <c r="E39" s="105" t="s">
        <v>156</v>
      </c>
      <c r="F39" s="105"/>
      <c r="G39" s="105"/>
      <c r="H39" s="105"/>
      <c r="I39" s="105"/>
      <c r="J39" s="105"/>
      <c r="K39" s="105"/>
      <c r="L39" s="106" cm="1">
        <f t="array" ref="L39">Greeks($K$7,$AB$7,$K$8,$AB$8,$AB$10,$AB$9,$K$9,E39)</f>
        <v>0.74961669598485292</v>
      </c>
      <c r="M39" s="106"/>
      <c r="N39" s="106"/>
      <c r="O39" s="106"/>
      <c r="P39" s="106"/>
      <c r="Q39" s="106"/>
      <c r="R39" s="106"/>
      <c r="S39" s="74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8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9"/>
    </row>
    <row r="40" spans="2:109" x14ac:dyDescent="0.35">
      <c r="B40" s="34"/>
      <c r="C40" s="35"/>
      <c r="D40" s="73"/>
      <c r="E40" s="75"/>
      <c r="F40" s="75"/>
      <c r="G40" s="75"/>
      <c r="H40" s="75"/>
      <c r="I40" s="75"/>
      <c r="J40" s="75"/>
      <c r="K40" s="75"/>
      <c r="L40" s="75"/>
      <c r="M40" s="75"/>
      <c r="N40" s="75"/>
      <c r="O40" s="75"/>
      <c r="P40" s="75"/>
      <c r="Q40" s="75"/>
      <c r="R40" s="75"/>
      <c r="S40" s="74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8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9"/>
    </row>
    <row r="41" spans="2:109" x14ac:dyDescent="0.35">
      <c r="B41" s="34"/>
      <c r="C41" s="35"/>
      <c r="D41" s="73"/>
      <c r="E41" s="105" t="s">
        <v>157</v>
      </c>
      <c r="F41" s="105"/>
      <c r="G41" s="105"/>
      <c r="H41" s="105"/>
      <c r="I41" s="105"/>
      <c r="J41" s="105"/>
      <c r="K41" s="105"/>
      <c r="L41" s="106" cm="1">
        <f t="array" ref="L41">Greeks($K$7,$AB$7,$K$8,$AB$8,$AB$10,$AB$9,$K$9,E41)</f>
        <v>8.3012114598768587</v>
      </c>
      <c r="M41" s="106"/>
      <c r="N41" s="106"/>
      <c r="O41" s="106"/>
      <c r="P41" s="106"/>
      <c r="Q41" s="106"/>
      <c r="R41" s="106"/>
      <c r="S41" s="74"/>
      <c r="T41" s="35"/>
      <c r="U41" s="35"/>
      <c r="V41" s="35"/>
      <c r="W41" s="35"/>
      <c r="X41" s="35"/>
      <c r="Y41" s="35"/>
      <c r="Z41" s="35"/>
      <c r="AA41" s="35"/>
      <c r="AB41" s="35"/>
      <c r="AC41" s="35"/>
      <c r="AD41" s="35"/>
      <c r="AE41" s="35"/>
      <c r="AF41" s="35"/>
      <c r="AG41" s="35"/>
      <c r="AH41" s="35"/>
      <c r="AI41" s="35"/>
      <c r="AJ41" s="35"/>
      <c r="AK41" s="35"/>
      <c r="AL41" s="35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5"/>
      <c r="BM41" s="35"/>
      <c r="BN41" s="35"/>
      <c r="BO41" s="35"/>
      <c r="BP41" s="35"/>
      <c r="BQ41" s="35"/>
      <c r="BR41" s="35"/>
      <c r="BS41" s="35"/>
      <c r="BT41" s="35"/>
      <c r="BU41" s="38"/>
      <c r="BV41" s="35"/>
      <c r="BW41" s="35"/>
      <c r="BX41" s="35"/>
      <c r="BY41" s="35"/>
      <c r="BZ41" s="35"/>
      <c r="CA41" s="35"/>
      <c r="CB41" s="35"/>
      <c r="CC41" s="35"/>
      <c r="CD41" s="35"/>
      <c r="CE41" s="35"/>
      <c r="CF41" s="35"/>
      <c r="CG41" s="35"/>
      <c r="CH41" s="35"/>
      <c r="CI41" s="35"/>
      <c r="CJ41" s="35"/>
      <c r="CK41" s="35"/>
      <c r="CL41" s="35"/>
      <c r="CM41" s="35"/>
      <c r="CN41" s="35"/>
      <c r="CO41" s="35"/>
      <c r="CP41" s="35"/>
      <c r="CQ41" s="35"/>
      <c r="CR41" s="35"/>
      <c r="CS41" s="35"/>
      <c r="CT41" s="35"/>
      <c r="CU41" s="35"/>
      <c r="CV41" s="35"/>
      <c r="CW41" s="35"/>
      <c r="CX41" s="35"/>
      <c r="CY41" s="35"/>
      <c r="CZ41" s="35"/>
      <c r="DA41" s="35"/>
      <c r="DB41" s="35"/>
      <c r="DC41" s="35"/>
      <c r="DD41" s="35"/>
      <c r="DE41" s="39"/>
    </row>
    <row r="42" spans="2:109" x14ac:dyDescent="0.35">
      <c r="B42" s="34"/>
      <c r="C42" s="35"/>
      <c r="D42" s="76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8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5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8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5"/>
      <c r="CU42" s="35"/>
      <c r="CV42" s="35"/>
      <c r="CW42" s="35"/>
      <c r="CX42" s="35"/>
      <c r="CY42" s="35"/>
      <c r="CZ42" s="35"/>
      <c r="DA42" s="35"/>
      <c r="DB42" s="35"/>
      <c r="DC42" s="35"/>
      <c r="DD42" s="35"/>
      <c r="DE42" s="39"/>
    </row>
    <row r="43" spans="2:109" x14ac:dyDescent="0.35">
      <c r="B43" s="34"/>
      <c r="C43" s="35"/>
      <c r="D43" s="35"/>
      <c r="E43" s="35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5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8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5"/>
      <c r="CU43" s="35"/>
      <c r="CV43" s="35"/>
      <c r="CW43" s="35"/>
      <c r="CX43" s="35"/>
      <c r="CY43" s="35"/>
      <c r="CZ43" s="35"/>
      <c r="DA43" s="35"/>
      <c r="DB43" s="35"/>
      <c r="DC43" s="35"/>
      <c r="DD43" s="35"/>
      <c r="DE43" s="39"/>
    </row>
    <row r="44" spans="2:109" x14ac:dyDescent="0.35">
      <c r="B44" s="34"/>
      <c r="C44" s="35"/>
      <c r="D44" s="35"/>
      <c r="E44" s="35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5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8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5"/>
      <c r="CU44" s="35"/>
      <c r="CV44" s="35"/>
      <c r="CW44" s="35"/>
      <c r="CX44" s="35"/>
      <c r="CY44" s="35"/>
      <c r="CZ44" s="35"/>
      <c r="DA44" s="35"/>
      <c r="DB44" s="35"/>
      <c r="DC44" s="35"/>
      <c r="DD44" s="35"/>
      <c r="DE44" s="39"/>
    </row>
    <row r="45" spans="2:109" x14ac:dyDescent="0.35">
      <c r="B45" s="34"/>
      <c r="C45" s="35"/>
      <c r="D45" s="35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5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8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5"/>
      <c r="CU45" s="35"/>
      <c r="CV45" s="35"/>
      <c r="CW45" s="35"/>
      <c r="CX45" s="35"/>
      <c r="CY45" s="35"/>
      <c r="CZ45" s="35"/>
      <c r="DA45" s="35"/>
      <c r="DB45" s="35"/>
      <c r="DC45" s="35"/>
      <c r="DD45" s="35"/>
      <c r="DE45" s="39"/>
    </row>
    <row r="46" spans="2:109" ht="15.6" thickBot="1" x14ac:dyDescent="0.4">
      <c r="B46" s="42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7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  <c r="CX46" s="44"/>
      <c r="CY46" s="44"/>
      <c r="CZ46" s="44"/>
      <c r="DA46" s="44"/>
      <c r="DB46" s="44"/>
      <c r="DC46" s="44"/>
      <c r="DD46" s="44"/>
      <c r="DE46" s="48"/>
    </row>
    <row r="47" spans="2:109" x14ac:dyDescent="0.35"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  <c r="AH47" s="35"/>
      <c r="AI47" s="35"/>
      <c r="AJ47" s="35"/>
      <c r="AK47" s="35"/>
      <c r="AL47" s="35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5"/>
      <c r="BM47" s="35"/>
      <c r="BN47" s="35"/>
      <c r="BO47" s="35"/>
      <c r="BP47" s="35"/>
      <c r="BQ47" s="35"/>
      <c r="BR47" s="35"/>
      <c r="BS47" s="35"/>
      <c r="BT47" s="35"/>
      <c r="BU47" s="35"/>
      <c r="BV47" s="35"/>
      <c r="BW47" s="35"/>
      <c r="BX47" s="35"/>
      <c r="BY47" s="35"/>
      <c r="BZ47" s="35"/>
      <c r="CA47" s="35"/>
      <c r="CB47" s="35"/>
      <c r="CC47" s="35"/>
      <c r="CD47" s="35"/>
      <c r="CE47" s="35"/>
      <c r="CF47" s="35"/>
      <c r="CG47" s="35"/>
      <c r="CH47" s="35"/>
      <c r="CI47" s="35"/>
      <c r="CJ47" s="35"/>
      <c r="CK47" s="35"/>
      <c r="CL47" s="35"/>
      <c r="CM47" s="35"/>
      <c r="CN47" s="35"/>
      <c r="CO47" s="35"/>
      <c r="CP47" s="35"/>
      <c r="CQ47" s="35"/>
      <c r="CR47" s="35"/>
      <c r="CS47" s="35"/>
      <c r="CT47" s="35"/>
      <c r="CU47" s="35"/>
      <c r="CV47" s="35"/>
      <c r="CW47" s="35"/>
      <c r="CX47" s="35"/>
      <c r="CY47" s="35"/>
      <c r="CZ47" s="35"/>
      <c r="DA47" s="35"/>
      <c r="DB47" s="35"/>
      <c r="DC47" s="35"/>
      <c r="DD47" s="35"/>
      <c r="DE47" s="35"/>
    </row>
    <row r="48" spans="2:109" x14ac:dyDescent="0.35">
      <c r="B48" s="35"/>
      <c r="C48" s="35"/>
      <c r="D48" s="35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5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5"/>
      <c r="CU48" s="35"/>
      <c r="CV48" s="35"/>
      <c r="CW48" s="35"/>
      <c r="CX48" s="35"/>
      <c r="CY48" s="35"/>
      <c r="CZ48" s="35"/>
      <c r="DA48" s="35"/>
      <c r="DB48" s="35"/>
      <c r="DC48" s="35"/>
      <c r="DD48" s="35"/>
      <c r="DE48" s="35"/>
    </row>
    <row r="49" spans="2:109" x14ac:dyDescent="0.35">
      <c r="B49" s="35"/>
      <c r="C49" s="35"/>
      <c r="D49" s="35"/>
      <c r="E49" s="35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5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5"/>
      <c r="CU49" s="35"/>
      <c r="CV49" s="35"/>
      <c r="CW49" s="35"/>
      <c r="CX49" s="35"/>
      <c r="CY49" s="35"/>
      <c r="CZ49" s="35"/>
      <c r="DA49" s="35"/>
      <c r="DB49" s="35"/>
      <c r="DC49" s="35"/>
      <c r="DD49" s="35"/>
      <c r="DE49" s="35"/>
    </row>
    <row r="50" spans="2:109" x14ac:dyDescent="0.35"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5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5"/>
      <c r="CU50" s="35"/>
      <c r="CV50" s="35"/>
      <c r="CW50" s="35"/>
      <c r="CX50" s="35"/>
      <c r="CY50" s="35"/>
      <c r="CZ50" s="35"/>
      <c r="DA50" s="35"/>
      <c r="DB50" s="35"/>
      <c r="DC50" s="35"/>
      <c r="DD50" s="35"/>
      <c r="DE50" s="35"/>
    </row>
    <row r="51" spans="2:109" x14ac:dyDescent="0.35">
      <c r="B51" s="35"/>
      <c r="C51" s="35"/>
      <c r="D51" s="35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5"/>
      <c r="CU51" s="35"/>
      <c r="CV51" s="35"/>
      <c r="CW51" s="35"/>
      <c r="CX51" s="35"/>
      <c r="CY51" s="35"/>
      <c r="CZ51" s="35"/>
      <c r="DA51" s="35"/>
      <c r="DB51" s="35"/>
      <c r="DC51" s="35"/>
      <c r="DD51" s="35"/>
      <c r="DE51" s="35"/>
    </row>
    <row r="52" spans="2:109" x14ac:dyDescent="0.35">
      <c r="B52" s="35"/>
      <c r="C52" s="35"/>
      <c r="D52" s="35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5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5"/>
      <c r="CU52" s="35"/>
      <c r="CV52" s="35"/>
      <c r="CW52" s="35"/>
      <c r="CX52" s="35"/>
      <c r="CY52" s="35"/>
      <c r="CZ52" s="35"/>
      <c r="DA52" s="35"/>
      <c r="DB52" s="35"/>
      <c r="DC52" s="35"/>
      <c r="DD52" s="35"/>
      <c r="DE52" s="35"/>
    </row>
    <row r="53" spans="2:109" x14ac:dyDescent="0.35">
      <c r="B53" s="35"/>
      <c r="C53" s="35"/>
      <c r="D53" s="35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35"/>
      <c r="AK53" s="35"/>
      <c r="AL53" s="35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5"/>
      <c r="BM53" s="35"/>
      <c r="BN53" s="35"/>
      <c r="BO53" s="35"/>
      <c r="BP53" s="35"/>
      <c r="BQ53" s="35"/>
      <c r="BR53" s="35"/>
      <c r="BS53" s="35"/>
      <c r="BT53" s="35"/>
      <c r="BU53" s="35"/>
      <c r="BV53" s="35"/>
      <c r="BW53" s="35"/>
      <c r="BX53" s="35"/>
      <c r="BY53" s="35"/>
      <c r="BZ53" s="35"/>
      <c r="CA53" s="35"/>
      <c r="CB53" s="35"/>
      <c r="CC53" s="35"/>
      <c r="CD53" s="35"/>
      <c r="CE53" s="35"/>
      <c r="CF53" s="35"/>
      <c r="CG53" s="35"/>
      <c r="CH53" s="35"/>
      <c r="CI53" s="35"/>
      <c r="CJ53" s="35"/>
      <c r="CK53" s="35"/>
      <c r="CL53" s="35"/>
      <c r="CM53" s="35"/>
      <c r="CN53" s="35"/>
      <c r="CO53" s="35"/>
      <c r="CP53" s="35"/>
      <c r="CQ53" s="35"/>
      <c r="CR53" s="35"/>
      <c r="CS53" s="35"/>
      <c r="CT53" s="35"/>
      <c r="CU53" s="35"/>
      <c r="CV53" s="35"/>
      <c r="CW53" s="35"/>
      <c r="CX53" s="35"/>
      <c r="CY53" s="35"/>
      <c r="CZ53" s="35"/>
      <c r="DA53" s="35"/>
      <c r="DB53" s="35"/>
      <c r="DC53" s="35"/>
      <c r="DD53" s="35"/>
      <c r="DE53" s="35"/>
    </row>
    <row r="54" spans="2:109" x14ac:dyDescent="0.35">
      <c r="B54" s="35"/>
      <c r="C54" s="35"/>
      <c r="D54" s="35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5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5"/>
      <c r="CZ54" s="35"/>
      <c r="DA54" s="35"/>
      <c r="DB54" s="35"/>
      <c r="DC54" s="35"/>
      <c r="DD54" s="35"/>
      <c r="DE54" s="35"/>
    </row>
    <row r="55" spans="2:109" x14ac:dyDescent="0.35">
      <c r="B55" s="35"/>
      <c r="C55" s="35"/>
      <c r="D55" s="35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5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5"/>
      <c r="CZ55" s="35"/>
      <c r="DA55" s="35"/>
      <c r="DB55" s="35"/>
      <c r="DC55" s="35"/>
      <c r="DD55" s="35"/>
      <c r="DE55" s="35"/>
    </row>
    <row r="56" spans="2:109" x14ac:dyDescent="0.35">
      <c r="B56" s="35"/>
      <c r="C56" s="35"/>
      <c r="D56" s="35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5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5"/>
      <c r="CZ56" s="35"/>
      <c r="DA56" s="35"/>
      <c r="DB56" s="35"/>
      <c r="DC56" s="35"/>
      <c r="DD56" s="35"/>
      <c r="DE56" s="35"/>
    </row>
    <row r="57" spans="2:109" x14ac:dyDescent="0.35"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5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5"/>
      <c r="CU57" s="35"/>
      <c r="CV57" s="35"/>
      <c r="CW57" s="35"/>
      <c r="CX57" s="35"/>
      <c r="CY57" s="35"/>
      <c r="CZ57" s="35"/>
      <c r="DA57" s="35"/>
      <c r="DB57" s="35"/>
      <c r="DC57" s="35"/>
      <c r="DD57" s="35"/>
      <c r="DE57" s="35"/>
    </row>
    <row r="58" spans="2:109" x14ac:dyDescent="0.35"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5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5"/>
      <c r="CU58" s="35"/>
      <c r="CV58" s="35"/>
      <c r="CW58" s="35"/>
      <c r="CX58" s="35"/>
      <c r="CY58" s="35"/>
      <c r="CZ58" s="35"/>
      <c r="DA58" s="35"/>
      <c r="DB58" s="35"/>
      <c r="DC58" s="35"/>
      <c r="DD58" s="35"/>
      <c r="DE58" s="35"/>
    </row>
    <row r="59" spans="2:109" x14ac:dyDescent="0.35"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35"/>
      <c r="AK59" s="35"/>
      <c r="AL59" s="35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5"/>
      <c r="BM59" s="35"/>
      <c r="BN59" s="35"/>
      <c r="BO59" s="35"/>
      <c r="BP59" s="35"/>
      <c r="BQ59" s="35"/>
      <c r="BR59" s="35"/>
      <c r="BS59" s="35"/>
      <c r="BT59" s="35"/>
      <c r="BU59" s="35"/>
      <c r="BV59" s="35"/>
      <c r="BW59" s="35"/>
      <c r="BX59" s="35"/>
      <c r="BY59" s="35"/>
      <c r="BZ59" s="35"/>
      <c r="CA59" s="35"/>
      <c r="CB59" s="35"/>
      <c r="CC59" s="35"/>
      <c r="CD59" s="35"/>
      <c r="CE59" s="35"/>
      <c r="CF59" s="35"/>
      <c r="CG59" s="35"/>
      <c r="CH59" s="35"/>
      <c r="CI59" s="35"/>
      <c r="CJ59" s="35"/>
      <c r="CK59" s="35"/>
      <c r="CL59" s="35"/>
      <c r="CM59" s="35"/>
      <c r="CN59" s="35"/>
      <c r="CO59" s="35"/>
      <c r="CP59" s="35"/>
      <c r="CQ59" s="35"/>
      <c r="CR59" s="35"/>
      <c r="CS59" s="35"/>
      <c r="CT59" s="35"/>
      <c r="CU59" s="35"/>
      <c r="CV59" s="35"/>
      <c r="CW59" s="35"/>
      <c r="CX59" s="35"/>
      <c r="CY59" s="35"/>
      <c r="CZ59" s="35"/>
      <c r="DA59" s="35"/>
      <c r="DB59" s="35"/>
      <c r="DC59" s="35"/>
      <c r="DD59" s="35"/>
      <c r="DE59" s="35"/>
    </row>
    <row r="60" spans="2:109" x14ac:dyDescent="0.35"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5"/>
      <c r="CU60" s="35"/>
      <c r="CV60" s="35"/>
      <c r="CW60" s="35"/>
      <c r="CX60" s="35"/>
      <c r="CY60" s="35"/>
      <c r="CZ60" s="35"/>
      <c r="DA60" s="35"/>
      <c r="DB60" s="35"/>
      <c r="DC60" s="35"/>
      <c r="DD60" s="35"/>
      <c r="DE60" s="35"/>
    </row>
    <row r="61" spans="2:109" x14ac:dyDescent="0.35"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5"/>
      <c r="CU61" s="35"/>
      <c r="CV61" s="35"/>
      <c r="CW61" s="35"/>
      <c r="CX61" s="35"/>
      <c r="CY61" s="35"/>
      <c r="CZ61" s="35"/>
      <c r="DA61" s="35"/>
      <c r="DB61" s="35"/>
      <c r="DC61" s="35"/>
      <c r="DD61" s="35"/>
      <c r="DE61" s="35"/>
    </row>
    <row r="62" spans="2:109" x14ac:dyDescent="0.35"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5"/>
      <c r="CU62" s="35"/>
      <c r="CV62" s="35"/>
      <c r="CW62" s="35"/>
      <c r="CX62" s="35"/>
      <c r="CY62" s="35"/>
      <c r="CZ62" s="35"/>
      <c r="DA62" s="35"/>
      <c r="DB62" s="35"/>
      <c r="DC62" s="35"/>
      <c r="DD62" s="35"/>
      <c r="DE62" s="35"/>
    </row>
    <row r="63" spans="2:109" x14ac:dyDescent="0.35"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5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5"/>
      <c r="CU63" s="35"/>
      <c r="CV63" s="35"/>
      <c r="CW63" s="35"/>
      <c r="CX63" s="35"/>
      <c r="CY63" s="35"/>
      <c r="CZ63" s="35"/>
      <c r="DA63" s="35"/>
      <c r="DB63" s="35"/>
      <c r="DC63" s="35"/>
      <c r="DD63" s="35"/>
      <c r="DE63" s="35"/>
    </row>
    <row r="64" spans="2:109" x14ac:dyDescent="0.35"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5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5"/>
      <c r="CU64" s="35"/>
      <c r="CV64" s="35"/>
      <c r="CW64" s="35"/>
      <c r="CX64" s="35"/>
      <c r="CY64" s="35"/>
      <c r="CZ64" s="35"/>
      <c r="DA64" s="35"/>
      <c r="DB64" s="35"/>
      <c r="DC64" s="35"/>
      <c r="DD64" s="35"/>
      <c r="DE64" s="35"/>
    </row>
    <row r="65" spans="2:109" x14ac:dyDescent="0.35"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5"/>
      <c r="BM65" s="35"/>
      <c r="BN65" s="35"/>
      <c r="BO65" s="35"/>
      <c r="BP65" s="35"/>
      <c r="BQ65" s="35"/>
      <c r="BR65" s="35"/>
      <c r="BS65" s="35"/>
      <c r="BT65" s="35"/>
      <c r="BU65" s="35"/>
      <c r="BV65" s="35"/>
      <c r="BW65" s="35"/>
      <c r="BX65" s="35"/>
      <c r="BY65" s="35"/>
      <c r="BZ65" s="35"/>
      <c r="CA65" s="35"/>
      <c r="CB65" s="35"/>
      <c r="CC65" s="35"/>
      <c r="CD65" s="35"/>
      <c r="CE65" s="35"/>
      <c r="CF65" s="35"/>
      <c r="CG65" s="35"/>
      <c r="CH65" s="35"/>
      <c r="CI65" s="35"/>
      <c r="CJ65" s="35"/>
      <c r="CK65" s="35"/>
      <c r="CL65" s="35"/>
      <c r="CM65" s="35"/>
      <c r="CN65" s="35"/>
      <c r="CO65" s="35"/>
      <c r="CP65" s="35"/>
      <c r="CQ65" s="35"/>
      <c r="CR65" s="35"/>
      <c r="CS65" s="35"/>
      <c r="CT65" s="35"/>
      <c r="CU65" s="35"/>
      <c r="CV65" s="35"/>
      <c r="CW65" s="35"/>
      <c r="CX65" s="35"/>
      <c r="CY65" s="35"/>
      <c r="CZ65" s="35"/>
      <c r="DA65" s="35"/>
      <c r="DB65" s="35"/>
      <c r="DC65" s="35"/>
      <c r="DD65" s="35"/>
      <c r="DE65" s="35"/>
    </row>
    <row r="66" spans="2:109" x14ac:dyDescent="0.35"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5"/>
      <c r="CU66" s="35"/>
      <c r="CV66" s="35"/>
      <c r="CW66" s="35"/>
      <c r="CX66" s="35"/>
      <c r="CY66" s="35"/>
      <c r="CZ66" s="35"/>
      <c r="DA66" s="35"/>
      <c r="DB66" s="35"/>
      <c r="DC66" s="35"/>
      <c r="DD66" s="35"/>
      <c r="DE66" s="35"/>
    </row>
    <row r="67" spans="2:109" x14ac:dyDescent="0.35"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5"/>
      <c r="CU67" s="35"/>
      <c r="CV67" s="35"/>
      <c r="CW67" s="35"/>
      <c r="CX67" s="35"/>
      <c r="CY67" s="35"/>
      <c r="CZ67" s="35"/>
      <c r="DA67" s="35"/>
      <c r="DB67" s="35"/>
      <c r="DC67" s="35"/>
      <c r="DD67" s="35"/>
      <c r="DE67" s="35"/>
    </row>
    <row r="68" spans="2:109" x14ac:dyDescent="0.35"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5"/>
      <c r="CU68" s="35"/>
      <c r="CV68" s="35"/>
      <c r="CW68" s="35"/>
      <c r="CX68" s="35"/>
      <c r="CY68" s="35"/>
      <c r="CZ68" s="35"/>
      <c r="DA68" s="35"/>
      <c r="DB68" s="35"/>
      <c r="DC68" s="35"/>
      <c r="DD68" s="35"/>
      <c r="DE68" s="35"/>
    </row>
    <row r="69" spans="2:109" x14ac:dyDescent="0.35"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5"/>
      <c r="CU69" s="35"/>
      <c r="CV69" s="35"/>
      <c r="CW69" s="35"/>
      <c r="CX69" s="35"/>
      <c r="CY69" s="35"/>
      <c r="CZ69" s="35"/>
      <c r="DA69" s="35"/>
      <c r="DB69" s="35"/>
      <c r="DC69" s="35"/>
      <c r="DD69" s="35"/>
      <c r="DE69" s="35"/>
    </row>
    <row r="70" spans="2:109" x14ac:dyDescent="0.35"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5"/>
      <c r="CU70" s="35"/>
      <c r="CV70" s="35"/>
      <c r="CW70" s="35"/>
      <c r="CX70" s="35"/>
      <c r="CY70" s="35"/>
      <c r="CZ70" s="35"/>
      <c r="DA70" s="35"/>
      <c r="DB70" s="35"/>
      <c r="DC70" s="35"/>
      <c r="DD70" s="35"/>
      <c r="DE70" s="35"/>
    </row>
    <row r="71" spans="2:109" x14ac:dyDescent="0.35"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5"/>
      <c r="BM71" s="35"/>
      <c r="BN71" s="35"/>
      <c r="BO71" s="35"/>
      <c r="BP71" s="35"/>
      <c r="BQ71" s="35"/>
      <c r="BR71" s="35"/>
      <c r="BS71" s="35"/>
      <c r="BT71" s="35"/>
      <c r="BU71" s="35"/>
      <c r="BV71" s="35"/>
      <c r="BW71" s="35"/>
      <c r="BX71" s="35"/>
      <c r="BY71" s="35"/>
      <c r="BZ71" s="35"/>
      <c r="CA71" s="35"/>
      <c r="CB71" s="35"/>
      <c r="CC71" s="35"/>
      <c r="CD71" s="35"/>
      <c r="CE71" s="35"/>
      <c r="CF71" s="35"/>
      <c r="CG71" s="35"/>
      <c r="CH71" s="35"/>
      <c r="CI71" s="35"/>
      <c r="CJ71" s="35"/>
      <c r="CK71" s="35"/>
      <c r="CL71" s="35"/>
      <c r="CM71" s="35"/>
      <c r="CN71" s="35"/>
      <c r="CO71" s="35"/>
      <c r="CP71" s="35"/>
      <c r="CQ71" s="35"/>
      <c r="CR71" s="35"/>
      <c r="CS71" s="35"/>
      <c r="CT71" s="35"/>
      <c r="CU71" s="35"/>
      <c r="CV71" s="35"/>
      <c r="CW71" s="35"/>
      <c r="CX71" s="35"/>
      <c r="CY71" s="35"/>
      <c r="CZ71" s="35"/>
      <c r="DA71" s="35"/>
      <c r="DB71" s="35"/>
      <c r="DC71" s="35"/>
      <c r="DD71" s="35"/>
      <c r="DE71" s="35"/>
    </row>
    <row r="72" spans="2:109" x14ac:dyDescent="0.35"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5"/>
      <c r="BM72" s="35"/>
      <c r="BN72" s="35"/>
      <c r="BO72" s="35"/>
      <c r="BP72" s="35"/>
      <c r="BQ72" s="35"/>
      <c r="BR72" s="35"/>
      <c r="BS72" s="35"/>
      <c r="BT72" s="35"/>
      <c r="BU72" s="35"/>
      <c r="BV72" s="35"/>
      <c r="BW72" s="35"/>
      <c r="BX72" s="35"/>
      <c r="BY72" s="35"/>
      <c r="BZ72" s="35"/>
      <c r="CA72" s="35"/>
      <c r="CB72" s="35"/>
      <c r="CC72" s="35"/>
      <c r="CD72" s="35"/>
      <c r="CE72" s="35"/>
      <c r="CF72" s="35"/>
      <c r="CG72" s="35"/>
      <c r="CH72" s="35"/>
      <c r="CI72" s="35"/>
      <c r="CJ72" s="35"/>
      <c r="CK72" s="35"/>
      <c r="CL72" s="35"/>
      <c r="CM72" s="35"/>
      <c r="CN72" s="35"/>
      <c r="CO72" s="35"/>
      <c r="CP72" s="35"/>
      <c r="CQ72" s="35"/>
      <c r="CR72" s="35"/>
      <c r="CS72" s="35"/>
      <c r="CT72" s="35"/>
      <c r="CU72" s="35"/>
      <c r="CV72" s="35"/>
      <c r="CW72" s="35"/>
      <c r="CX72" s="35"/>
      <c r="CY72" s="35"/>
      <c r="CZ72" s="35"/>
      <c r="DA72" s="35"/>
      <c r="DB72" s="35"/>
      <c r="DC72" s="35"/>
      <c r="DD72" s="35"/>
      <c r="DE72" s="35"/>
    </row>
    <row r="73" spans="2:109" x14ac:dyDescent="0.35"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/>
      <c r="CH73" s="35"/>
      <c r="CI73" s="35"/>
      <c r="CJ73" s="35"/>
      <c r="CK73" s="35"/>
      <c r="CL73" s="35"/>
      <c r="CM73" s="35"/>
      <c r="CN73" s="35"/>
      <c r="CO73" s="35"/>
      <c r="CP73" s="35"/>
      <c r="CQ73" s="35"/>
      <c r="CR73" s="35"/>
      <c r="CS73" s="35"/>
      <c r="CT73" s="35"/>
      <c r="CU73" s="35"/>
      <c r="CV73" s="35"/>
      <c r="CW73" s="35"/>
      <c r="CX73" s="35"/>
      <c r="CY73" s="35"/>
      <c r="CZ73" s="35"/>
      <c r="DA73" s="35"/>
      <c r="DB73" s="35"/>
      <c r="DC73" s="35"/>
      <c r="DD73" s="35"/>
      <c r="DE73" s="35"/>
    </row>
    <row r="74" spans="2:109" x14ac:dyDescent="0.35"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5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5"/>
      <c r="CU74" s="35"/>
      <c r="CV74" s="35"/>
      <c r="CW74" s="35"/>
      <c r="CX74" s="35"/>
      <c r="CY74" s="35"/>
      <c r="CZ74" s="35"/>
      <c r="DA74" s="35"/>
      <c r="DB74" s="35"/>
      <c r="DC74" s="35"/>
      <c r="DD74" s="35"/>
      <c r="DE74" s="35"/>
    </row>
    <row r="75" spans="2:109" x14ac:dyDescent="0.35"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5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5"/>
      <c r="CU75" s="35"/>
      <c r="CV75" s="35"/>
      <c r="CW75" s="35"/>
      <c r="CX75" s="35"/>
      <c r="CY75" s="35"/>
      <c r="CZ75" s="35"/>
      <c r="DA75" s="35"/>
      <c r="DB75" s="35"/>
      <c r="DC75" s="35"/>
      <c r="DD75" s="35"/>
      <c r="DE75" s="35"/>
    </row>
    <row r="76" spans="2:109" x14ac:dyDescent="0.35"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5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5"/>
      <c r="CU76" s="35"/>
      <c r="CV76" s="35"/>
      <c r="CW76" s="35"/>
      <c r="CX76" s="35"/>
      <c r="CY76" s="35"/>
      <c r="CZ76" s="35"/>
      <c r="DA76" s="35"/>
      <c r="DB76" s="35"/>
      <c r="DC76" s="35"/>
      <c r="DD76" s="35"/>
      <c r="DE76" s="35"/>
    </row>
    <row r="77" spans="2:109" x14ac:dyDescent="0.35"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5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5"/>
      <c r="CU77" s="35"/>
      <c r="CV77" s="35"/>
      <c r="CW77" s="35"/>
      <c r="CX77" s="35"/>
      <c r="CY77" s="35"/>
      <c r="CZ77" s="35"/>
      <c r="DA77" s="35"/>
      <c r="DB77" s="35"/>
      <c r="DC77" s="35"/>
      <c r="DD77" s="35"/>
      <c r="DE77" s="35"/>
    </row>
    <row r="78" spans="2:109" x14ac:dyDescent="0.35"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35"/>
      <c r="AK78" s="35"/>
      <c r="AL78" s="35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5"/>
      <c r="BM78" s="35"/>
      <c r="BN78" s="35"/>
      <c r="BO78" s="35"/>
      <c r="BP78" s="35"/>
      <c r="BQ78" s="35"/>
      <c r="BR78" s="35"/>
      <c r="BS78" s="35"/>
      <c r="BT78" s="35"/>
      <c r="BU78" s="35"/>
      <c r="BV78" s="35"/>
      <c r="BW78" s="35"/>
      <c r="BX78" s="35"/>
      <c r="BY78" s="35"/>
      <c r="BZ78" s="35"/>
      <c r="CA78" s="35"/>
      <c r="CB78" s="35"/>
      <c r="CC78" s="35"/>
      <c r="CD78" s="35"/>
      <c r="CE78" s="35"/>
      <c r="CF78" s="35"/>
      <c r="CG78" s="35"/>
      <c r="CH78" s="35"/>
      <c r="CI78" s="35"/>
      <c r="CJ78" s="35"/>
      <c r="CK78" s="35"/>
      <c r="CL78" s="35"/>
      <c r="CM78" s="35"/>
      <c r="CN78" s="35"/>
      <c r="CO78" s="35"/>
      <c r="CP78" s="35"/>
      <c r="CQ78" s="35"/>
      <c r="CR78" s="35"/>
      <c r="CS78" s="35"/>
      <c r="CT78" s="35"/>
      <c r="CU78" s="35"/>
      <c r="CV78" s="35"/>
      <c r="CW78" s="35"/>
      <c r="CX78" s="35"/>
      <c r="CY78" s="35"/>
      <c r="CZ78" s="35"/>
      <c r="DA78" s="35"/>
      <c r="DB78" s="35"/>
      <c r="DC78" s="35"/>
      <c r="DD78" s="35"/>
      <c r="DE78" s="35"/>
    </row>
    <row r="79" spans="2:109" x14ac:dyDescent="0.35"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5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  <c r="CQ79" s="35"/>
      <c r="CR79" s="35"/>
      <c r="CS79" s="35"/>
      <c r="CT79" s="35"/>
      <c r="CU79" s="35"/>
      <c r="CV79" s="35"/>
      <c r="CW79" s="35"/>
      <c r="CX79" s="35"/>
      <c r="CY79" s="35"/>
      <c r="CZ79" s="35"/>
      <c r="DA79" s="35"/>
      <c r="DB79" s="35"/>
      <c r="DC79" s="35"/>
      <c r="DD79" s="35"/>
      <c r="DE79" s="35"/>
    </row>
    <row r="80" spans="2:109" x14ac:dyDescent="0.35"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5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5"/>
      <c r="CU80" s="35"/>
      <c r="CV80" s="35"/>
      <c r="CW80" s="35"/>
      <c r="CX80" s="35"/>
      <c r="CY80" s="35"/>
      <c r="CZ80" s="35"/>
      <c r="DA80" s="35"/>
      <c r="DB80" s="35"/>
      <c r="DC80" s="35"/>
      <c r="DD80" s="35"/>
      <c r="DE80" s="35"/>
    </row>
    <row r="81" spans="2:109" x14ac:dyDescent="0.35">
      <c r="B81" s="35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5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5"/>
      <c r="CU81" s="35"/>
      <c r="CV81" s="35"/>
      <c r="CW81" s="35"/>
      <c r="CX81" s="35"/>
      <c r="CY81" s="35"/>
      <c r="CZ81" s="35"/>
      <c r="DA81" s="35"/>
      <c r="DB81" s="35"/>
      <c r="DC81" s="35"/>
      <c r="DD81" s="35"/>
      <c r="DE81" s="35"/>
    </row>
    <row r="82" spans="2:109" x14ac:dyDescent="0.35"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5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5"/>
      <c r="CU82" s="35"/>
      <c r="CV82" s="35"/>
      <c r="CW82" s="35"/>
      <c r="CX82" s="35"/>
      <c r="CY82" s="35"/>
      <c r="CZ82" s="35"/>
      <c r="DA82" s="35"/>
      <c r="DB82" s="35"/>
      <c r="DC82" s="35"/>
      <c r="DD82" s="35"/>
      <c r="DE82" s="35"/>
    </row>
    <row r="83" spans="2:109" x14ac:dyDescent="0.35">
      <c r="B83" s="35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5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5"/>
      <c r="CU83" s="35"/>
      <c r="CV83" s="35"/>
      <c r="CW83" s="35"/>
      <c r="CX83" s="35"/>
      <c r="CY83" s="35"/>
      <c r="CZ83" s="35"/>
      <c r="DA83" s="35"/>
      <c r="DB83" s="35"/>
      <c r="DC83" s="35"/>
      <c r="DD83" s="35"/>
      <c r="DE83" s="35"/>
    </row>
    <row r="84" spans="2:109" x14ac:dyDescent="0.35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35"/>
      <c r="AK84" s="35"/>
      <c r="AL84" s="35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5"/>
      <c r="BM84" s="35"/>
      <c r="BN84" s="35"/>
      <c r="BO84" s="35"/>
      <c r="BP84" s="35"/>
      <c r="BQ84" s="35"/>
      <c r="BR84" s="35"/>
      <c r="BS84" s="35"/>
      <c r="BT84" s="35"/>
      <c r="BU84" s="35"/>
      <c r="BV84" s="35"/>
      <c r="BW84" s="35"/>
      <c r="BX84" s="35"/>
      <c r="BY84" s="35"/>
      <c r="BZ84" s="35"/>
      <c r="CA84" s="35"/>
      <c r="CB84" s="35"/>
      <c r="CC84" s="35"/>
      <c r="CD84" s="35"/>
      <c r="CE84" s="35"/>
      <c r="CF84" s="35"/>
      <c r="CG84" s="35"/>
      <c r="CH84" s="35"/>
      <c r="CI84" s="35"/>
      <c r="CJ84" s="35"/>
      <c r="CK84" s="35"/>
      <c r="CL84" s="35"/>
      <c r="CM84" s="35"/>
      <c r="CN84" s="35"/>
      <c r="CO84" s="35"/>
      <c r="CP84" s="35"/>
      <c r="CQ84" s="35"/>
      <c r="CR84" s="35"/>
      <c r="CS84" s="35"/>
      <c r="CT84" s="35"/>
      <c r="CU84" s="35"/>
      <c r="CV84" s="35"/>
      <c r="CW84" s="35"/>
      <c r="CX84" s="35"/>
      <c r="CY84" s="35"/>
      <c r="CZ84" s="35"/>
      <c r="DA84" s="35"/>
      <c r="DB84" s="35"/>
      <c r="DC84" s="35"/>
      <c r="DD84" s="35"/>
      <c r="DE84" s="35"/>
    </row>
    <row r="85" spans="2:109" x14ac:dyDescent="0.35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5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5"/>
      <c r="CU85" s="35"/>
      <c r="CV85" s="35"/>
      <c r="CW85" s="35"/>
      <c r="CX85" s="35"/>
      <c r="CY85" s="35"/>
      <c r="CZ85" s="35"/>
      <c r="DA85" s="35"/>
      <c r="DB85" s="35"/>
      <c r="DC85" s="35"/>
      <c r="DD85" s="35"/>
      <c r="DE85" s="35"/>
    </row>
    <row r="86" spans="2:109" x14ac:dyDescent="0.35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5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5"/>
      <c r="CU86" s="35"/>
      <c r="CV86" s="35"/>
      <c r="CW86" s="35"/>
      <c r="CX86" s="35"/>
      <c r="CY86" s="35"/>
      <c r="CZ86" s="35"/>
      <c r="DA86" s="35"/>
      <c r="DB86" s="35"/>
      <c r="DC86" s="35"/>
      <c r="DD86" s="35"/>
      <c r="DE86" s="35"/>
    </row>
    <row r="87" spans="2:109" x14ac:dyDescent="0.35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5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5"/>
      <c r="CU87" s="35"/>
      <c r="CV87" s="35"/>
      <c r="CW87" s="35"/>
      <c r="CX87" s="35"/>
      <c r="CY87" s="35"/>
      <c r="CZ87" s="35"/>
      <c r="DA87" s="35"/>
      <c r="DB87" s="35"/>
      <c r="DC87" s="35"/>
      <c r="DD87" s="35"/>
      <c r="DE87" s="35"/>
    </row>
    <row r="88" spans="2:109" x14ac:dyDescent="0.35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5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5"/>
      <c r="CU88" s="35"/>
      <c r="CV88" s="35"/>
      <c r="CW88" s="35"/>
      <c r="CX88" s="35"/>
      <c r="CY88" s="35"/>
      <c r="CZ88" s="35"/>
      <c r="DA88" s="35"/>
      <c r="DB88" s="35"/>
      <c r="DC88" s="35"/>
      <c r="DD88" s="35"/>
      <c r="DE88" s="35"/>
    </row>
    <row r="89" spans="2:109" x14ac:dyDescent="0.35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5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5"/>
      <c r="CU89" s="35"/>
      <c r="CV89" s="35"/>
      <c r="CW89" s="35"/>
      <c r="CX89" s="35"/>
      <c r="CY89" s="35"/>
      <c r="CZ89" s="35"/>
      <c r="DA89" s="35"/>
      <c r="DB89" s="35"/>
      <c r="DC89" s="35"/>
      <c r="DD89" s="35"/>
      <c r="DE89" s="35"/>
    </row>
    <row r="90" spans="2:109" x14ac:dyDescent="0.35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5"/>
      <c r="AK90" s="35"/>
      <c r="AL90" s="35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5"/>
      <c r="BM90" s="35"/>
      <c r="BN90" s="35"/>
      <c r="BO90" s="35"/>
      <c r="BP90" s="35"/>
      <c r="BQ90" s="35"/>
      <c r="BR90" s="35"/>
      <c r="BS90" s="35"/>
      <c r="BT90" s="35"/>
      <c r="BU90" s="35"/>
      <c r="BV90" s="35"/>
      <c r="BW90" s="35"/>
      <c r="BX90" s="35"/>
      <c r="BY90" s="35"/>
      <c r="BZ90" s="35"/>
      <c r="CA90" s="35"/>
      <c r="CB90" s="35"/>
      <c r="CC90" s="35"/>
      <c r="CD90" s="35"/>
      <c r="CE90" s="35"/>
      <c r="CF90" s="35"/>
      <c r="CG90" s="35"/>
      <c r="CH90" s="35"/>
      <c r="CI90" s="35"/>
      <c r="CJ90" s="35"/>
      <c r="CK90" s="35"/>
      <c r="CL90" s="35"/>
      <c r="CM90" s="35"/>
      <c r="CN90" s="35"/>
      <c r="CO90" s="35"/>
      <c r="CP90" s="35"/>
      <c r="CQ90" s="35"/>
      <c r="CR90" s="35"/>
      <c r="CS90" s="35"/>
      <c r="CT90" s="35"/>
      <c r="CU90" s="35"/>
      <c r="CV90" s="35"/>
      <c r="CW90" s="35"/>
      <c r="CX90" s="35"/>
      <c r="CY90" s="35"/>
      <c r="CZ90" s="35"/>
      <c r="DA90" s="35"/>
      <c r="DB90" s="35"/>
      <c r="DC90" s="35"/>
      <c r="DD90" s="35"/>
      <c r="DE90" s="35"/>
    </row>
    <row r="91" spans="2:109" x14ac:dyDescent="0.35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5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5"/>
      <c r="CU91" s="35"/>
      <c r="CV91" s="35"/>
      <c r="CW91" s="35"/>
      <c r="CX91" s="35"/>
      <c r="CY91" s="35"/>
      <c r="CZ91" s="35"/>
      <c r="DA91" s="35"/>
      <c r="DB91" s="35"/>
      <c r="DC91" s="35"/>
      <c r="DD91" s="35"/>
      <c r="DE91" s="35"/>
    </row>
    <row r="92" spans="2:109" x14ac:dyDescent="0.35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5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5"/>
      <c r="CU92" s="35"/>
      <c r="CV92" s="35"/>
      <c r="CW92" s="35"/>
      <c r="CX92" s="35"/>
      <c r="CY92" s="35"/>
      <c r="CZ92" s="35"/>
      <c r="DA92" s="35"/>
      <c r="DB92" s="35"/>
      <c r="DC92" s="35"/>
      <c r="DD92" s="35"/>
      <c r="DE92" s="35"/>
    </row>
    <row r="93" spans="2:109" x14ac:dyDescent="0.35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5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5"/>
      <c r="CU93" s="35"/>
      <c r="CV93" s="35"/>
      <c r="CW93" s="35"/>
      <c r="CX93" s="35"/>
      <c r="CY93" s="35"/>
      <c r="CZ93" s="35"/>
      <c r="DA93" s="35"/>
      <c r="DB93" s="35"/>
      <c r="DC93" s="35"/>
      <c r="DD93" s="35"/>
      <c r="DE93" s="35"/>
    </row>
    <row r="94" spans="2:109" x14ac:dyDescent="0.35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5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5"/>
      <c r="CU94" s="35"/>
      <c r="CV94" s="35"/>
      <c r="CW94" s="35"/>
      <c r="CX94" s="35"/>
      <c r="CY94" s="35"/>
      <c r="CZ94" s="35"/>
      <c r="DA94" s="35"/>
      <c r="DB94" s="35"/>
      <c r="DC94" s="35"/>
      <c r="DD94" s="35"/>
      <c r="DE94" s="35"/>
    </row>
    <row r="95" spans="2:109" x14ac:dyDescent="0.35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5"/>
      <c r="AM95" s="35"/>
      <c r="AN95" s="35"/>
      <c r="AO95" s="35"/>
      <c r="AP95" s="35"/>
      <c r="AQ95" s="35"/>
      <c r="AR95" s="35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5"/>
      <c r="CU95" s="35"/>
      <c r="CV95" s="35"/>
      <c r="CW95" s="35"/>
      <c r="CX95" s="35"/>
      <c r="CY95" s="35"/>
      <c r="CZ95" s="35"/>
      <c r="DA95" s="35"/>
      <c r="DB95" s="35"/>
      <c r="DC95" s="35"/>
      <c r="DD95" s="35"/>
      <c r="DE95" s="35"/>
    </row>
    <row r="96" spans="2:109" x14ac:dyDescent="0.35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5"/>
      <c r="AK96" s="35"/>
      <c r="AL96" s="35"/>
      <c r="AM96" s="35"/>
      <c r="AN96" s="35"/>
      <c r="AO96" s="35"/>
      <c r="AP96" s="35"/>
      <c r="AQ96" s="35"/>
      <c r="AR96" s="35"/>
      <c r="AS96" s="35"/>
      <c r="AT96" s="35"/>
      <c r="AU96" s="35"/>
      <c r="AV96" s="35"/>
      <c r="AW96" s="35"/>
      <c r="AX96" s="35"/>
      <c r="AY96" s="35"/>
      <c r="AZ96" s="35"/>
      <c r="BA96" s="35"/>
      <c r="BB96" s="35"/>
      <c r="BC96" s="35"/>
      <c r="BD96" s="35"/>
      <c r="BE96" s="35"/>
      <c r="BF96" s="35"/>
      <c r="BG96" s="35"/>
      <c r="BH96" s="35"/>
      <c r="BI96" s="35"/>
      <c r="BJ96" s="35"/>
      <c r="BK96" s="35"/>
      <c r="BL96" s="35"/>
      <c r="BM96" s="35"/>
      <c r="BN96" s="35"/>
      <c r="BO96" s="35"/>
      <c r="BP96" s="35"/>
      <c r="BQ96" s="35"/>
      <c r="BR96" s="35"/>
      <c r="BS96" s="35"/>
      <c r="BT96" s="35"/>
      <c r="BU96" s="35"/>
      <c r="BV96" s="35"/>
      <c r="BW96" s="35"/>
      <c r="BX96" s="35"/>
      <c r="BY96" s="35"/>
      <c r="BZ96" s="35"/>
      <c r="CA96" s="35"/>
      <c r="CB96" s="35"/>
      <c r="CC96" s="35"/>
      <c r="CD96" s="35"/>
      <c r="CE96" s="35"/>
      <c r="CF96" s="35"/>
      <c r="CG96" s="35"/>
      <c r="CH96" s="35"/>
      <c r="CI96" s="35"/>
      <c r="CJ96" s="35"/>
      <c r="CK96" s="35"/>
      <c r="CL96" s="35"/>
      <c r="CM96" s="35"/>
      <c r="CN96" s="35"/>
      <c r="CO96" s="35"/>
      <c r="CP96" s="35"/>
      <c r="CQ96" s="35"/>
      <c r="CR96" s="35"/>
      <c r="CS96" s="35"/>
      <c r="CT96" s="35"/>
      <c r="CU96" s="35"/>
      <c r="CV96" s="35"/>
      <c r="CW96" s="35"/>
      <c r="CX96" s="35"/>
      <c r="CY96" s="35"/>
      <c r="CZ96" s="35"/>
      <c r="DA96" s="35"/>
      <c r="DB96" s="35"/>
      <c r="DC96" s="35"/>
      <c r="DD96" s="35"/>
      <c r="DE96" s="35"/>
    </row>
    <row r="97" spans="2:109" x14ac:dyDescent="0.35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5"/>
      <c r="AM97" s="35"/>
      <c r="AN97" s="35"/>
      <c r="AO97" s="35"/>
      <c r="AP97" s="35"/>
      <c r="AQ97" s="35"/>
      <c r="AR97" s="35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</row>
    <row r="98" spans="2:109" x14ac:dyDescent="0.35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5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</row>
    <row r="99" spans="2:109" x14ac:dyDescent="0.35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5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</row>
    <row r="100" spans="2:109" x14ac:dyDescent="0.35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5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5"/>
      <c r="CU100" s="35"/>
      <c r="CV100" s="35"/>
      <c r="CW100" s="35"/>
      <c r="CX100" s="35"/>
      <c r="CY100" s="35"/>
      <c r="CZ100" s="35"/>
      <c r="DA100" s="35"/>
      <c r="DB100" s="35"/>
      <c r="DC100" s="35"/>
      <c r="DD100" s="35"/>
      <c r="DE100" s="35"/>
    </row>
    <row r="101" spans="2:109" x14ac:dyDescent="0.35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5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5"/>
      <c r="CU101" s="35"/>
      <c r="CV101" s="35"/>
      <c r="CW101" s="35"/>
      <c r="CX101" s="35"/>
      <c r="CY101" s="35"/>
      <c r="CZ101" s="35"/>
      <c r="DA101" s="35"/>
      <c r="DB101" s="35"/>
      <c r="DC101" s="35"/>
      <c r="DD101" s="35"/>
      <c r="DE101" s="35"/>
    </row>
    <row r="102" spans="2:109" x14ac:dyDescent="0.35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5"/>
      <c r="AK102" s="35"/>
      <c r="AL102" s="35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35"/>
      <c r="BU102" s="35"/>
      <c r="BV102" s="35"/>
      <c r="BW102" s="35"/>
      <c r="BX102" s="35"/>
      <c r="BY102" s="35"/>
      <c r="BZ102" s="35"/>
      <c r="CA102" s="35"/>
      <c r="CB102" s="35"/>
      <c r="CC102" s="35"/>
      <c r="CD102" s="35"/>
      <c r="CE102" s="35"/>
      <c r="CF102" s="35"/>
      <c r="CG102" s="35"/>
      <c r="CH102" s="35"/>
      <c r="CI102" s="35"/>
      <c r="CJ102" s="35"/>
      <c r="CK102" s="35"/>
      <c r="CL102" s="35"/>
      <c r="CM102" s="35"/>
      <c r="CN102" s="35"/>
      <c r="CO102" s="35"/>
      <c r="CP102" s="35"/>
      <c r="CQ102" s="35"/>
      <c r="CR102" s="35"/>
      <c r="CS102" s="35"/>
      <c r="CT102" s="35"/>
      <c r="CU102" s="35"/>
      <c r="CV102" s="35"/>
      <c r="CW102" s="35"/>
      <c r="CX102" s="35"/>
      <c r="CY102" s="35"/>
      <c r="CZ102" s="35"/>
      <c r="DA102" s="35"/>
      <c r="DB102" s="35"/>
      <c r="DC102" s="35"/>
      <c r="DD102" s="35"/>
      <c r="DE102" s="35"/>
    </row>
    <row r="103" spans="2:109" x14ac:dyDescent="0.35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5"/>
      <c r="AK103" s="35"/>
      <c r="AL103" s="35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35"/>
      <c r="BU103" s="35"/>
      <c r="BV103" s="35"/>
      <c r="BW103" s="35"/>
      <c r="BX103" s="35"/>
      <c r="BY103" s="35"/>
      <c r="BZ103" s="35"/>
      <c r="CA103" s="35"/>
      <c r="CB103" s="35"/>
      <c r="CC103" s="35"/>
      <c r="CD103" s="35"/>
      <c r="CE103" s="35"/>
      <c r="CF103" s="35"/>
      <c r="CG103" s="35"/>
      <c r="CH103" s="35"/>
      <c r="CI103" s="35"/>
      <c r="CJ103" s="35"/>
      <c r="CK103" s="35"/>
      <c r="CL103" s="35"/>
      <c r="CM103" s="35"/>
      <c r="CN103" s="35"/>
      <c r="CO103" s="35"/>
      <c r="CP103" s="35"/>
      <c r="CQ103" s="35"/>
      <c r="CR103" s="35"/>
      <c r="CS103" s="35"/>
      <c r="CT103" s="35"/>
      <c r="CU103" s="35"/>
      <c r="CV103" s="35"/>
      <c r="CW103" s="35"/>
      <c r="CX103" s="35"/>
      <c r="CY103" s="35"/>
      <c r="CZ103" s="35"/>
      <c r="DA103" s="35"/>
      <c r="DB103" s="35"/>
      <c r="DC103" s="35"/>
      <c r="DD103" s="35"/>
      <c r="DE103" s="35"/>
    </row>
    <row r="104" spans="2:109" x14ac:dyDescent="0.35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5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5"/>
      <c r="CU104" s="35"/>
      <c r="CV104" s="35"/>
      <c r="CW104" s="35"/>
      <c r="CX104" s="35"/>
      <c r="CY104" s="35"/>
      <c r="CZ104" s="35"/>
      <c r="DA104" s="35"/>
      <c r="DB104" s="35"/>
      <c r="DC104" s="35"/>
      <c r="DD104" s="35"/>
      <c r="DE104" s="35"/>
    </row>
    <row r="105" spans="2:109" x14ac:dyDescent="0.35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5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5"/>
      <c r="CU105" s="35"/>
      <c r="CV105" s="35"/>
      <c r="CW105" s="35"/>
      <c r="CX105" s="35"/>
      <c r="CY105" s="35"/>
      <c r="CZ105" s="35"/>
      <c r="DA105" s="35"/>
      <c r="DB105" s="35"/>
      <c r="DC105" s="35"/>
      <c r="DD105" s="35"/>
      <c r="DE105" s="35"/>
    </row>
    <row r="106" spans="2:109" x14ac:dyDescent="0.35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5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5"/>
      <c r="CU106" s="35"/>
      <c r="CV106" s="35"/>
      <c r="CW106" s="35"/>
      <c r="CX106" s="35"/>
      <c r="CY106" s="35"/>
      <c r="CZ106" s="35"/>
      <c r="DA106" s="35"/>
      <c r="DB106" s="35"/>
      <c r="DC106" s="35"/>
      <c r="DD106" s="35"/>
      <c r="DE106" s="35"/>
    </row>
    <row r="107" spans="2:109" x14ac:dyDescent="0.35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5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5"/>
      <c r="CU107" s="35"/>
      <c r="CV107" s="35"/>
      <c r="CW107" s="35"/>
      <c r="CX107" s="35"/>
      <c r="CY107" s="35"/>
      <c r="CZ107" s="35"/>
      <c r="DA107" s="35"/>
      <c r="DB107" s="35"/>
      <c r="DC107" s="35"/>
      <c r="DD107" s="35"/>
      <c r="DE107" s="35"/>
    </row>
    <row r="108" spans="2:109" x14ac:dyDescent="0.35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5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5"/>
      <c r="CU108" s="35"/>
      <c r="CV108" s="35"/>
      <c r="CW108" s="35"/>
      <c r="CX108" s="35"/>
      <c r="CY108" s="35"/>
      <c r="CZ108" s="35"/>
      <c r="DA108" s="35"/>
      <c r="DB108" s="35"/>
      <c r="DC108" s="35"/>
      <c r="DD108" s="35"/>
      <c r="DE108" s="35"/>
    </row>
    <row r="109" spans="2:109" x14ac:dyDescent="0.35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5"/>
      <c r="AK109" s="35"/>
      <c r="AL109" s="35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35"/>
      <c r="BU109" s="35"/>
      <c r="BV109" s="35"/>
      <c r="BW109" s="35"/>
      <c r="BX109" s="35"/>
      <c r="BY109" s="35"/>
      <c r="BZ109" s="35"/>
      <c r="CA109" s="35"/>
      <c r="CB109" s="35"/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  <c r="CN109" s="35"/>
      <c r="CO109" s="35"/>
      <c r="CP109" s="35"/>
      <c r="CQ109" s="35"/>
      <c r="CR109" s="35"/>
      <c r="CS109" s="35"/>
      <c r="CT109" s="35"/>
      <c r="CU109" s="35"/>
      <c r="CV109" s="35"/>
      <c r="CW109" s="35"/>
      <c r="CX109" s="35"/>
      <c r="CY109" s="35"/>
      <c r="CZ109" s="35"/>
      <c r="DA109" s="35"/>
      <c r="DB109" s="35"/>
      <c r="DC109" s="35"/>
      <c r="DD109" s="35"/>
      <c r="DE109" s="35"/>
    </row>
    <row r="110" spans="2:109" x14ac:dyDescent="0.35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5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5"/>
      <c r="CU110" s="35"/>
      <c r="CV110" s="35"/>
      <c r="CW110" s="35"/>
      <c r="CX110" s="35"/>
      <c r="CY110" s="35"/>
      <c r="CZ110" s="35"/>
      <c r="DA110" s="35"/>
      <c r="DB110" s="35"/>
      <c r="DC110" s="35"/>
      <c r="DD110" s="35"/>
      <c r="DE110" s="35"/>
    </row>
    <row r="111" spans="2:109" x14ac:dyDescent="0.35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5"/>
      <c r="CU111" s="35"/>
      <c r="CV111" s="35"/>
      <c r="CW111" s="35"/>
      <c r="CX111" s="35"/>
      <c r="CY111" s="35"/>
      <c r="CZ111" s="35"/>
      <c r="DA111" s="35"/>
      <c r="DB111" s="35"/>
      <c r="DC111" s="35"/>
      <c r="DD111" s="35"/>
      <c r="DE111" s="35"/>
    </row>
    <row r="112" spans="2:109" x14ac:dyDescent="0.35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5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5"/>
      <c r="CU112" s="35"/>
      <c r="CV112" s="35"/>
      <c r="CW112" s="35"/>
      <c r="CX112" s="35"/>
      <c r="CY112" s="35"/>
      <c r="CZ112" s="35"/>
      <c r="DA112" s="35"/>
      <c r="DB112" s="35"/>
      <c r="DC112" s="35"/>
      <c r="DD112" s="35"/>
      <c r="DE112" s="35"/>
    </row>
    <row r="113" spans="2:109" x14ac:dyDescent="0.35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5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5"/>
      <c r="CU113" s="35"/>
      <c r="CV113" s="35"/>
      <c r="CW113" s="35"/>
      <c r="CX113" s="35"/>
      <c r="CY113" s="35"/>
      <c r="CZ113" s="35"/>
      <c r="DA113" s="35"/>
      <c r="DB113" s="35"/>
      <c r="DC113" s="35"/>
      <c r="DD113" s="35"/>
      <c r="DE113" s="35"/>
    </row>
    <row r="114" spans="2:109" x14ac:dyDescent="0.35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5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5"/>
      <c r="CU114" s="35"/>
      <c r="CV114" s="35"/>
      <c r="CW114" s="35"/>
      <c r="CX114" s="35"/>
      <c r="CY114" s="35"/>
      <c r="CZ114" s="35"/>
      <c r="DA114" s="35"/>
      <c r="DB114" s="35"/>
      <c r="DC114" s="35"/>
      <c r="DD114" s="35"/>
      <c r="DE114" s="35"/>
    </row>
    <row r="115" spans="2:109" x14ac:dyDescent="0.35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5"/>
      <c r="AK115" s="35"/>
      <c r="AL115" s="35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35"/>
      <c r="BU115" s="35"/>
      <c r="BV115" s="35"/>
      <c r="BW115" s="35"/>
      <c r="BX115" s="35"/>
      <c r="BY115" s="35"/>
      <c r="BZ115" s="35"/>
      <c r="CA115" s="35"/>
      <c r="CB115" s="35"/>
      <c r="CC115" s="35"/>
      <c r="CD115" s="35"/>
      <c r="CE115" s="35"/>
      <c r="CF115" s="35"/>
      <c r="CG115" s="35"/>
      <c r="CH115" s="35"/>
      <c r="CI115" s="35"/>
      <c r="CJ115" s="35"/>
      <c r="CK115" s="35"/>
      <c r="CL115" s="35"/>
      <c r="CM115" s="35"/>
      <c r="CN115" s="35"/>
      <c r="CO115" s="35"/>
      <c r="CP115" s="35"/>
      <c r="CQ115" s="35"/>
      <c r="CR115" s="35"/>
      <c r="CS115" s="35"/>
      <c r="CT115" s="35"/>
      <c r="CU115" s="35"/>
      <c r="CV115" s="35"/>
      <c r="CW115" s="35"/>
      <c r="CX115" s="35"/>
      <c r="CY115" s="35"/>
      <c r="CZ115" s="35"/>
      <c r="DA115" s="35"/>
      <c r="DB115" s="35"/>
      <c r="DC115" s="35"/>
      <c r="DD115" s="35"/>
      <c r="DE115" s="35"/>
    </row>
    <row r="116" spans="2:109" x14ac:dyDescent="0.35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5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5"/>
      <c r="CU116" s="35"/>
      <c r="CV116" s="35"/>
      <c r="CW116" s="35"/>
      <c r="CX116" s="35"/>
      <c r="CY116" s="35"/>
      <c r="CZ116" s="35"/>
      <c r="DA116" s="35"/>
      <c r="DB116" s="35"/>
      <c r="DC116" s="35"/>
      <c r="DD116" s="35"/>
      <c r="DE116" s="35"/>
    </row>
    <row r="117" spans="2:109" x14ac:dyDescent="0.35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5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5"/>
      <c r="CU117" s="35"/>
      <c r="CV117" s="35"/>
      <c r="CW117" s="35"/>
      <c r="CX117" s="35"/>
      <c r="CY117" s="35"/>
      <c r="CZ117" s="35"/>
      <c r="DA117" s="35"/>
      <c r="DB117" s="35"/>
      <c r="DC117" s="35"/>
      <c r="DD117" s="35"/>
      <c r="DE117" s="35"/>
    </row>
    <row r="118" spans="2:109" x14ac:dyDescent="0.35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5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5"/>
      <c r="CU118" s="35"/>
      <c r="CV118" s="35"/>
      <c r="CW118" s="35"/>
      <c r="CX118" s="35"/>
      <c r="CY118" s="35"/>
      <c r="CZ118" s="35"/>
      <c r="DA118" s="35"/>
      <c r="DB118" s="35"/>
      <c r="DC118" s="35"/>
      <c r="DD118" s="35"/>
      <c r="DE118" s="35"/>
    </row>
    <row r="119" spans="2:109" x14ac:dyDescent="0.35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5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5"/>
      <c r="CU119" s="35"/>
      <c r="CV119" s="35"/>
      <c r="CW119" s="35"/>
      <c r="CX119" s="35"/>
      <c r="CY119" s="35"/>
      <c r="CZ119" s="35"/>
      <c r="DA119" s="35"/>
      <c r="DB119" s="35"/>
      <c r="DC119" s="35"/>
      <c r="DD119" s="35"/>
      <c r="DE119" s="35"/>
    </row>
    <row r="120" spans="2:109" x14ac:dyDescent="0.35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5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</row>
    <row r="121" spans="2:109" x14ac:dyDescent="0.35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5"/>
      <c r="AK121" s="35"/>
      <c r="AL121" s="35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35"/>
      <c r="BU121" s="35"/>
      <c r="BV121" s="35"/>
      <c r="BW121" s="35"/>
      <c r="BX121" s="35"/>
      <c r="BY121" s="35"/>
      <c r="BZ121" s="35"/>
      <c r="CA121" s="35"/>
      <c r="CB121" s="35"/>
      <c r="CC121" s="35"/>
      <c r="CD121" s="35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</row>
    <row r="122" spans="2:109" x14ac:dyDescent="0.35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5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</row>
    <row r="123" spans="2:109" x14ac:dyDescent="0.35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5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</row>
    <row r="124" spans="2:109" x14ac:dyDescent="0.35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5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</row>
    <row r="125" spans="2:109" x14ac:dyDescent="0.35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5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</row>
    <row r="126" spans="2:109" x14ac:dyDescent="0.35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5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</row>
    <row r="127" spans="2:109" x14ac:dyDescent="0.35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5"/>
      <c r="AK127" s="35"/>
      <c r="AL127" s="35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35"/>
      <c r="BU127" s="35"/>
      <c r="BV127" s="35"/>
      <c r="BW127" s="35"/>
      <c r="BX127" s="35"/>
      <c r="BY127" s="35"/>
      <c r="BZ127" s="35"/>
      <c r="CA127" s="35"/>
      <c r="CB127" s="35"/>
      <c r="CC127" s="35"/>
      <c r="CD127" s="35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</row>
    <row r="128" spans="2:109" x14ac:dyDescent="0.35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5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</row>
    <row r="129" spans="2:109" x14ac:dyDescent="0.35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5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</row>
    <row r="130" spans="2:109" x14ac:dyDescent="0.35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5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5"/>
      <c r="CU130" s="35"/>
      <c r="CV130" s="35"/>
      <c r="CW130" s="35"/>
      <c r="CX130" s="35"/>
      <c r="CY130" s="35"/>
      <c r="CZ130" s="35"/>
      <c r="DA130" s="35"/>
      <c r="DB130" s="35"/>
      <c r="DC130" s="35"/>
      <c r="DD130" s="35"/>
      <c r="DE130" s="35"/>
    </row>
    <row r="131" spans="2:109" x14ac:dyDescent="0.35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5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</row>
    <row r="132" spans="2:109" x14ac:dyDescent="0.35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5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5"/>
      <c r="CU132" s="35"/>
      <c r="CV132" s="35"/>
      <c r="CW132" s="35"/>
      <c r="CX132" s="35"/>
      <c r="CY132" s="35"/>
      <c r="CZ132" s="35"/>
      <c r="DA132" s="35"/>
      <c r="DB132" s="35"/>
      <c r="DC132" s="35"/>
      <c r="DD132" s="35"/>
      <c r="DE132" s="35"/>
    </row>
    <row r="133" spans="2:109" x14ac:dyDescent="0.35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5"/>
      <c r="AK133" s="35"/>
      <c r="AL133" s="35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35"/>
      <c r="BU133" s="35"/>
      <c r="BV133" s="35"/>
      <c r="BW133" s="35"/>
      <c r="BX133" s="35"/>
      <c r="BY133" s="35"/>
      <c r="BZ133" s="35"/>
      <c r="CA133" s="35"/>
      <c r="CB133" s="35"/>
      <c r="CC133" s="35"/>
      <c r="CD133" s="35"/>
      <c r="CE133" s="35"/>
      <c r="CF133" s="35"/>
      <c r="CG133" s="35"/>
      <c r="CH133" s="35"/>
      <c r="CI133" s="35"/>
      <c r="CJ133" s="35"/>
      <c r="CK133" s="35"/>
      <c r="CL133" s="35"/>
      <c r="CM133" s="35"/>
      <c r="CN133" s="35"/>
      <c r="CO133" s="35"/>
      <c r="CP133" s="35"/>
      <c r="CQ133" s="35"/>
      <c r="CR133" s="35"/>
      <c r="CS133" s="35"/>
      <c r="CT133" s="35"/>
      <c r="CU133" s="35"/>
      <c r="CV133" s="35"/>
      <c r="CW133" s="35"/>
      <c r="CX133" s="35"/>
      <c r="CY133" s="35"/>
      <c r="CZ133" s="35"/>
      <c r="DA133" s="35"/>
      <c r="DB133" s="35"/>
      <c r="DC133" s="35"/>
      <c r="DD133" s="35"/>
      <c r="DE133" s="35"/>
    </row>
    <row r="134" spans="2:109" x14ac:dyDescent="0.35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5"/>
      <c r="AK134" s="35"/>
      <c r="AL134" s="35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35"/>
      <c r="BU134" s="35"/>
      <c r="BV134" s="35"/>
      <c r="BW134" s="35"/>
      <c r="BX134" s="35"/>
      <c r="BY134" s="35"/>
      <c r="BZ134" s="35"/>
      <c r="CA134" s="35"/>
      <c r="CB134" s="35"/>
      <c r="CC134" s="35"/>
      <c r="CD134" s="35"/>
      <c r="CE134" s="35"/>
      <c r="CF134" s="35"/>
      <c r="CG134" s="35"/>
      <c r="CH134" s="35"/>
      <c r="CI134" s="35"/>
      <c r="CJ134" s="35"/>
      <c r="CK134" s="35"/>
      <c r="CL134" s="35"/>
      <c r="CM134" s="35"/>
      <c r="CN134" s="35"/>
      <c r="CO134" s="35"/>
      <c r="CP134" s="35"/>
      <c r="CQ134" s="35"/>
      <c r="CR134" s="35"/>
      <c r="CS134" s="35"/>
      <c r="CT134" s="35"/>
      <c r="CU134" s="35"/>
      <c r="CV134" s="35"/>
      <c r="CW134" s="35"/>
      <c r="CX134" s="35"/>
      <c r="CY134" s="35"/>
      <c r="CZ134" s="35"/>
      <c r="DA134" s="35"/>
      <c r="DB134" s="35"/>
      <c r="DC134" s="35"/>
      <c r="DD134" s="35"/>
      <c r="DE134" s="35"/>
    </row>
    <row r="135" spans="2:109" x14ac:dyDescent="0.35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5"/>
      <c r="AK135" s="35"/>
      <c r="AL135" s="35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5"/>
      <c r="CU135" s="35"/>
      <c r="CV135" s="35"/>
      <c r="CW135" s="35"/>
      <c r="CX135" s="35"/>
      <c r="CY135" s="35"/>
      <c r="CZ135" s="35"/>
      <c r="DA135" s="35"/>
      <c r="DB135" s="35"/>
      <c r="DC135" s="35"/>
      <c r="DD135" s="35"/>
      <c r="DE135" s="35"/>
    </row>
    <row r="136" spans="2:109" x14ac:dyDescent="0.35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5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5"/>
      <c r="CU136" s="35"/>
      <c r="CV136" s="35"/>
      <c r="CW136" s="35"/>
      <c r="CX136" s="35"/>
      <c r="CY136" s="35"/>
      <c r="CZ136" s="35"/>
      <c r="DA136" s="35"/>
      <c r="DB136" s="35"/>
      <c r="DC136" s="35"/>
      <c r="DD136" s="35"/>
      <c r="DE136" s="35"/>
    </row>
    <row r="137" spans="2:109" x14ac:dyDescent="0.35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5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5"/>
      <c r="CU137" s="35"/>
      <c r="CV137" s="35"/>
      <c r="CW137" s="35"/>
      <c r="CX137" s="35"/>
      <c r="CY137" s="35"/>
      <c r="CZ137" s="35"/>
      <c r="DA137" s="35"/>
      <c r="DB137" s="35"/>
      <c r="DC137" s="35"/>
      <c r="DD137" s="35"/>
      <c r="DE137" s="35"/>
    </row>
    <row r="138" spans="2:109" x14ac:dyDescent="0.35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5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5"/>
      <c r="CU138" s="35"/>
      <c r="CV138" s="35"/>
      <c r="CW138" s="35"/>
      <c r="CX138" s="35"/>
      <c r="CY138" s="35"/>
      <c r="CZ138" s="35"/>
      <c r="DA138" s="35"/>
      <c r="DB138" s="35"/>
      <c r="DC138" s="35"/>
      <c r="DD138" s="35"/>
      <c r="DE138" s="35"/>
    </row>
    <row r="139" spans="2:109" x14ac:dyDescent="0.35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5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5"/>
      <c r="CU139" s="35"/>
      <c r="CV139" s="35"/>
      <c r="CW139" s="35"/>
      <c r="CX139" s="35"/>
      <c r="CY139" s="35"/>
      <c r="CZ139" s="35"/>
      <c r="DA139" s="35"/>
      <c r="DB139" s="35"/>
      <c r="DC139" s="35"/>
      <c r="DD139" s="35"/>
      <c r="DE139" s="35"/>
    </row>
    <row r="140" spans="2:109" x14ac:dyDescent="0.35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5"/>
      <c r="AK140" s="35"/>
      <c r="AL140" s="35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35"/>
      <c r="BU140" s="35"/>
      <c r="BV140" s="35"/>
      <c r="BW140" s="35"/>
      <c r="BX140" s="35"/>
      <c r="BY140" s="35"/>
      <c r="BZ140" s="35"/>
      <c r="CA140" s="35"/>
      <c r="CB140" s="35"/>
      <c r="CC140" s="35"/>
      <c r="CD140" s="35"/>
      <c r="CE140" s="35"/>
      <c r="CF140" s="35"/>
      <c r="CG140" s="35"/>
      <c r="CH140" s="35"/>
      <c r="CI140" s="35"/>
      <c r="CJ140" s="35"/>
      <c r="CK140" s="35"/>
      <c r="CL140" s="35"/>
      <c r="CM140" s="35"/>
      <c r="CN140" s="35"/>
      <c r="CO140" s="35"/>
      <c r="CP140" s="35"/>
      <c r="CQ140" s="35"/>
      <c r="CR140" s="35"/>
      <c r="CS140" s="35"/>
      <c r="CT140" s="35"/>
      <c r="CU140" s="35"/>
      <c r="CV140" s="35"/>
      <c r="CW140" s="35"/>
      <c r="CX140" s="35"/>
      <c r="CY140" s="35"/>
      <c r="CZ140" s="35"/>
      <c r="DA140" s="35"/>
      <c r="DB140" s="35"/>
      <c r="DC140" s="35"/>
      <c r="DD140" s="35"/>
      <c r="DE140" s="35"/>
    </row>
    <row r="141" spans="2:109" x14ac:dyDescent="0.35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5"/>
      <c r="AK141" s="35"/>
      <c r="AL141" s="35"/>
      <c r="AM141" s="35"/>
      <c r="AN141" s="35"/>
      <c r="AO141" s="35"/>
      <c r="AP141" s="35"/>
      <c r="AQ141" s="35"/>
      <c r="AR141" s="35"/>
      <c r="AS141" s="35"/>
      <c r="AT141" s="35"/>
      <c r="AU141" s="35"/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5"/>
      <c r="CU141" s="35"/>
      <c r="CV141" s="35"/>
      <c r="CW141" s="35"/>
      <c r="CX141" s="35"/>
      <c r="CY141" s="35"/>
      <c r="CZ141" s="35"/>
      <c r="DA141" s="35"/>
      <c r="DB141" s="35"/>
      <c r="DC141" s="35"/>
      <c r="DD141" s="35"/>
      <c r="DE141" s="35"/>
    </row>
    <row r="142" spans="2:109" x14ac:dyDescent="0.35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5"/>
      <c r="AM142" s="35"/>
      <c r="AN142" s="35"/>
      <c r="AO142" s="35"/>
      <c r="AP142" s="35"/>
      <c r="AQ142" s="35"/>
      <c r="AR142" s="35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5"/>
      <c r="CU142" s="35"/>
      <c r="CV142" s="35"/>
      <c r="CW142" s="35"/>
      <c r="CX142" s="35"/>
      <c r="CY142" s="35"/>
      <c r="CZ142" s="35"/>
      <c r="DA142" s="35"/>
      <c r="DB142" s="35"/>
      <c r="DC142" s="35"/>
      <c r="DD142" s="35"/>
      <c r="DE142" s="35"/>
    </row>
    <row r="143" spans="2:109" x14ac:dyDescent="0.35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5"/>
      <c r="AM143" s="35"/>
      <c r="AN143" s="35"/>
      <c r="AO143" s="35"/>
      <c r="AP143" s="35"/>
      <c r="AQ143" s="35"/>
      <c r="AR143" s="35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5"/>
      <c r="CU143" s="35"/>
      <c r="CV143" s="35"/>
      <c r="CW143" s="35"/>
      <c r="CX143" s="35"/>
      <c r="CY143" s="35"/>
      <c r="CZ143" s="35"/>
      <c r="DA143" s="35"/>
      <c r="DB143" s="35"/>
      <c r="DC143" s="35"/>
      <c r="DD143" s="35"/>
      <c r="DE143" s="35"/>
    </row>
    <row r="144" spans="2:109" x14ac:dyDescent="0.35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5"/>
      <c r="AM144" s="35"/>
      <c r="AN144" s="35"/>
      <c r="AO144" s="35"/>
      <c r="AP144" s="35"/>
      <c r="AQ144" s="35"/>
      <c r="AR144" s="35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5"/>
      <c r="CU144" s="35"/>
      <c r="CV144" s="35"/>
      <c r="CW144" s="35"/>
      <c r="CX144" s="35"/>
      <c r="CY144" s="35"/>
      <c r="CZ144" s="35"/>
      <c r="DA144" s="35"/>
      <c r="DB144" s="35"/>
      <c r="DC144" s="35"/>
      <c r="DD144" s="35"/>
      <c r="DE144" s="35"/>
    </row>
    <row r="145" spans="2:109" x14ac:dyDescent="0.35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5"/>
      <c r="AM145" s="35"/>
      <c r="AN145" s="35"/>
      <c r="AO145" s="35"/>
      <c r="AP145" s="35"/>
      <c r="AQ145" s="35"/>
      <c r="AR145" s="35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5"/>
      <c r="CU145" s="35"/>
      <c r="CV145" s="35"/>
      <c r="CW145" s="35"/>
      <c r="CX145" s="35"/>
      <c r="CY145" s="35"/>
      <c r="CZ145" s="35"/>
      <c r="DA145" s="35"/>
      <c r="DB145" s="35"/>
      <c r="DC145" s="35"/>
      <c r="DD145" s="35"/>
      <c r="DE145" s="35"/>
    </row>
    <row r="146" spans="2:109" x14ac:dyDescent="0.35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5"/>
      <c r="AK146" s="35"/>
      <c r="AL146" s="35"/>
      <c r="AM146" s="35"/>
      <c r="AN146" s="35"/>
      <c r="AO146" s="35"/>
      <c r="AP146" s="35"/>
      <c r="AQ146" s="35"/>
      <c r="AR146" s="35"/>
      <c r="AS146" s="35"/>
      <c r="AT146" s="35"/>
      <c r="AU146" s="35"/>
      <c r="AV146" s="35"/>
      <c r="AW146" s="35"/>
      <c r="AX146" s="35"/>
      <c r="AY146" s="35"/>
      <c r="AZ146" s="35"/>
      <c r="BA146" s="35"/>
      <c r="BB146" s="35"/>
      <c r="BC146" s="35"/>
      <c r="BD146" s="35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35"/>
      <c r="BU146" s="35"/>
      <c r="BV146" s="35"/>
      <c r="BW146" s="35"/>
      <c r="BX146" s="35"/>
      <c r="BY146" s="35"/>
      <c r="BZ146" s="35"/>
      <c r="CA146" s="35"/>
      <c r="CB146" s="35"/>
      <c r="CC146" s="35"/>
      <c r="CD146" s="35"/>
      <c r="CE146" s="35"/>
      <c r="CF146" s="35"/>
      <c r="CG146" s="35"/>
      <c r="CH146" s="35"/>
      <c r="CI146" s="35"/>
      <c r="CJ146" s="35"/>
      <c r="CK146" s="35"/>
      <c r="CL146" s="35"/>
      <c r="CM146" s="35"/>
      <c r="CN146" s="35"/>
      <c r="CO146" s="35"/>
      <c r="CP146" s="35"/>
      <c r="CQ146" s="35"/>
      <c r="CR146" s="35"/>
      <c r="CS146" s="35"/>
      <c r="CT146" s="35"/>
      <c r="CU146" s="35"/>
      <c r="CV146" s="35"/>
      <c r="CW146" s="35"/>
      <c r="CX146" s="35"/>
      <c r="CY146" s="35"/>
      <c r="CZ146" s="35"/>
      <c r="DA146" s="35"/>
      <c r="DB146" s="35"/>
      <c r="DC146" s="35"/>
      <c r="DD146" s="35"/>
      <c r="DE146" s="35"/>
    </row>
    <row r="147" spans="2:109" x14ac:dyDescent="0.35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5"/>
      <c r="AK147" s="35"/>
      <c r="AL147" s="35"/>
      <c r="AM147" s="35"/>
      <c r="AN147" s="35"/>
      <c r="AO147" s="35"/>
      <c r="AP147" s="35"/>
      <c r="AQ147" s="35"/>
      <c r="AR147" s="35"/>
      <c r="AS147" s="35"/>
      <c r="AT147" s="35"/>
      <c r="AU147" s="35"/>
      <c r="AV147" s="35"/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5"/>
      <c r="CU147" s="35"/>
      <c r="CV147" s="35"/>
      <c r="CW147" s="35"/>
      <c r="CX147" s="35"/>
      <c r="CY147" s="35"/>
      <c r="CZ147" s="35"/>
      <c r="DA147" s="35"/>
      <c r="DB147" s="35"/>
      <c r="DC147" s="35"/>
      <c r="DD147" s="35"/>
      <c r="DE147" s="35"/>
    </row>
    <row r="148" spans="2:109" x14ac:dyDescent="0.35"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</row>
    <row r="149" spans="2:109" x14ac:dyDescent="0.35"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</row>
  </sheetData>
  <sheetProtection algorithmName="SHA-512" hashValue="R2TWzCQwej2XlG6NZLFfukssJZSrJ0kXLiyZGKfcI/Qy/DJ9UDZnXS13eYMGIxO8VvHgxAx6u/xMuQDY7L1Srw==" saltValue="toBGB3I+W1NHQmsJ/1YrHg==" spinCount="100000" sheet="1" objects="1" scenarios="1"/>
  <protectedRanges>
    <protectedRange sqref="K7:Q10 K12 AB11" name="Input"/>
  </protectedRanges>
  <mergeCells count="201">
    <mergeCell ref="BX25:DC26"/>
    <mergeCell ref="W30:AC30"/>
    <mergeCell ref="BX28:CD28"/>
    <mergeCell ref="BX37:CD37"/>
    <mergeCell ref="BB34:BG34"/>
    <mergeCell ref="BH34:BM34"/>
    <mergeCell ref="BN34:BS34"/>
    <mergeCell ref="AD35:AI35"/>
    <mergeCell ref="AJ35:AO35"/>
    <mergeCell ref="AP35:AU35"/>
    <mergeCell ref="AV35:BA35"/>
    <mergeCell ref="BB35:BG35"/>
    <mergeCell ref="BH35:BM35"/>
    <mergeCell ref="BN35:BS35"/>
    <mergeCell ref="BB32:BG32"/>
    <mergeCell ref="BH32:BM32"/>
    <mergeCell ref="BN32:BS32"/>
    <mergeCell ref="AD33:AI33"/>
    <mergeCell ref="AJ33:AO33"/>
    <mergeCell ref="AP33:AU33"/>
    <mergeCell ref="AV33:BA33"/>
    <mergeCell ref="BB33:BG33"/>
    <mergeCell ref="BH33:BM33"/>
    <mergeCell ref="BN33:BS33"/>
    <mergeCell ref="W36:X36"/>
    <mergeCell ref="Y36:AB36"/>
    <mergeCell ref="AC36:AD36"/>
    <mergeCell ref="AE36:AH36"/>
    <mergeCell ref="AI36:AJ36"/>
    <mergeCell ref="E29:R29"/>
    <mergeCell ref="AJ30:AO30"/>
    <mergeCell ref="AP30:AU30"/>
    <mergeCell ref="AV30:BA30"/>
    <mergeCell ref="AK36:AN36"/>
    <mergeCell ref="AD31:AI31"/>
    <mergeCell ref="AJ31:AO31"/>
    <mergeCell ref="AP31:AU31"/>
    <mergeCell ref="AV31:BA31"/>
    <mergeCell ref="AD32:AI32"/>
    <mergeCell ref="AJ32:AO32"/>
    <mergeCell ref="AP32:AU32"/>
    <mergeCell ref="AV32:BA32"/>
    <mergeCell ref="AD34:AI34"/>
    <mergeCell ref="AJ34:AO34"/>
    <mergeCell ref="AP34:AU34"/>
    <mergeCell ref="AV34:BA34"/>
    <mergeCell ref="BB30:BG30"/>
    <mergeCell ref="W32:AC32"/>
    <mergeCell ref="W33:AC33"/>
    <mergeCell ref="W34:AC34"/>
    <mergeCell ref="W35:AC35"/>
    <mergeCell ref="AD30:AI30"/>
    <mergeCell ref="W28:BS28"/>
    <mergeCell ref="W29:AC29"/>
    <mergeCell ref="AD29:BS29"/>
    <mergeCell ref="W31:AC31"/>
    <mergeCell ref="BH30:BM30"/>
    <mergeCell ref="BN30:BS30"/>
    <mergeCell ref="BB31:BG31"/>
    <mergeCell ref="BH31:BM31"/>
    <mergeCell ref="BN31:BS31"/>
    <mergeCell ref="E37:K37"/>
    <mergeCell ref="L37:R37"/>
    <mergeCell ref="E39:K39"/>
    <mergeCell ref="L39:R39"/>
    <mergeCell ref="E41:K41"/>
    <mergeCell ref="L41:R41"/>
    <mergeCell ref="E31:K31"/>
    <mergeCell ref="L31:R31"/>
    <mergeCell ref="E33:K33"/>
    <mergeCell ref="L33:R33"/>
    <mergeCell ref="E35:K35"/>
    <mergeCell ref="L35:R35"/>
    <mergeCell ref="BP19:BS19"/>
    <mergeCell ref="U10:AA10"/>
    <mergeCell ref="AB10:AH10"/>
    <mergeCell ref="D25:BS26"/>
    <mergeCell ref="AN19:AW19"/>
    <mergeCell ref="AX19:BF19"/>
    <mergeCell ref="BG19:BI19"/>
    <mergeCell ref="BJ19:BL19"/>
    <mergeCell ref="BM19:BO19"/>
    <mergeCell ref="BP17:BS17"/>
    <mergeCell ref="AN18:AW18"/>
    <mergeCell ref="AX18:BF18"/>
    <mergeCell ref="BG18:BI18"/>
    <mergeCell ref="BJ18:BL18"/>
    <mergeCell ref="BM18:BO18"/>
    <mergeCell ref="BP18:BS18"/>
    <mergeCell ref="AN17:AW17"/>
    <mergeCell ref="AX17:BF17"/>
    <mergeCell ref="BG17:BI17"/>
    <mergeCell ref="BJ17:BL17"/>
    <mergeCell ref="BM17:BO17"/>
    <mergeCell ref="BP15:BS15"/>
    <mergeCell ref="AN16:AW16"/>
    <mergeCell ref="AX16:BF16"/>
    <mergeCell ref="BG16:BI16"/>
    <mergeCell ref="BJ16:BL16"/>
    <mergeCell ref="BM16:BO16"/>
    <mergeCell ref="BP16:BS16"/>
    <mergeCell ref="AN15:AW15"/>
    <mergeCell ref="AX15:BF15"/>
    <mergeCell ref="BG15:BI15"/>
    <mergeCell ref="BJ15:BL15"/>
    <mergeCell ref="BM15:BO15"/>
    <mergeCell ref="BP12:BS12"/>
    <mergeCell ref="BG14:BI14"/>
    <mergeCell ref="BJ14:BL14"/>
    <mergeCell ref="BM14:BO14"/>
    <mergeCell ref="BP14:BS14"/>
    <mergeCell ref="BM11:BO11"/>
    <mergeCell ref="BG12:BI12"/>
    <mergeCell ref="BJ12:BL12"/>
    <mergeCell ref="BM12:BO12"/>
    <mergeCell ref="BJ11:BL11"/>
    <mergeCell ref="D10:J10"/>
    <mergeCell ref="D9:J9"/>
    <mergeCell ref="D8:J8"/>
    <mergeCell ref="AD2:AJ2"/>
    <mergeCell ref="AB7:AH7"/>
    <mergeCell ref="AB12:AH12"/>
    <mergeCell ref="BG8:BI8"/>
    <mergeCell ref="BJ8:BL8"/>
    <mergeCell ref="BM8:BO8"/>
    <mergeCell ref="AX8:BF8"/>
    <mergeCell ref="AX9:BF9"/>
    <mergeCell ref="AX10:BF10"/>
    <mergeCell ref="AX11:BF11"/>
    <mergeCell ref="BG7:BI7"/>
    <mergeCell ref="BG9:BI9"/>
    <mergeCell ref="BG10:BI10"/>
    <mergeCell ref="BG11:BI11"/>
    <mergeCell ref="BJ7:BL7"/>
    <mergeCell ref="BM7:BO7"/>
    <mergeCell ref="BJ9:BL9"/>
    <mergeCell ref="BM9:BO9"/>
    <mergeCell ref="AX12:BF12"/>
    <mergeCell ref="BJ10:BL10"/>
    <mergeCell ref="BM10:BO10"/>
    <mergeCell ref="CO12:CU12"/>
    <mergeCell ref="BX7:CD7"/>
    <mergeCell ref="BX8:CD8"/>
    <mergeCell ref="BX9:CD9"/>
    <mergeCell ref="BX10:CD10"/>
    <mergeCell ref="BX11:CD11"/>
    <mergeCell ref="AN14:AT14"/>
    <mergeCell ref="AN12:AW12"/>
    <mergeCell ref="C2:H2"/>
    <mergeCell ref="I2:L2"/>
    <mergeCell ref="D4:AI5"/>
    <mergeCell ref="AN7:AT7"/>
    <mergeCell ref="AN8:AW8"/>
    <mergeCell ref="AN9:AW9"/>
    <mergeCell ref="D7:J7"/>
    <mergeCell ref="U12:AA12"/>
    <mergeCell ref="K12:Q12"/>
    <mergeCell ref="K10:Q10"/>
    <mergeCell ref="K9:Q9"/>
    <mergeCell ref="U11:AA11"/>
    <mergeCell ref="U9:AA9"/>
    <mergeCell ref="U8:AA8"/>
    <mergeCell ref="U7:AA7"/>
    <mergeCell ref="D12:J12"/>
    <mergeCell ref="K8:Q8"/>
    <mergeCell ref="CS2:CX2"/>
    <mergeCell ref="AK2:AQ2"/>
    <mergeCell ref="BI2:BO2"/>
    <mergeCell ref="BP2:CF2"/>
    <mergeCell ref="CE12:CK12"/>
    <mergeCell ref="CE11:CK11"/>
    <mergeCell ref="CE10:CK10"/>
    <mergeCell ref="CE9:CK9"/>
    <mergeCell ref="CE8:CK8"/>
    <mergeCell ref="CE7:CK7"/>
    <mergeCell ref="AN4:BS5"/>
    <mergeCell ref="BX4:DC5"/>
    <mergeCell ref="CY2:DD2"/>
    <mergeCell ref="CV11:DB11"/>
    <mergeCell ref="CV12:DB12"/>
    <mergeCell ref="CV7:DB7"/>
    <mergeCell ref="BX12:CD12"/>
    <mergeCell ref="CO7:CU7"/>
    <mergeCell ref="CO8:CU8"/>
    <mergeCell ref="K7:Q7"/>
    <mergeCell ref="CV8:DB8"/>
    <mergeCell ref="CV9:DB9"/>
    <mergeCell ref="CV10:DB10"/>
    <mergeCell ref="AB8:AH8"/>
    <mergeCell ref="AB11:AH11"/>
    <mergeCell ref="AB9:AH9"/>
    <mergeCell ref="AN10:AW10"/>
    <mergeCell ref="AN11:AW11"/>
    <mergeCell ref="CO9:CU9"/>
    <mergeCell ref="CO10:CU10"/>
    <mergeCell ref="CO11:CU11"/>
    <mergeCell ref="BP7:BS7"/>
    <mergeCell ref="BP8:BS8"/>
    <mergeCell ref="BP9:BS9"/>
    <mergeCell ref="BP10:BS10"/>
    <mergeCell ref="BP11:BS11"/>
  </mergeCells>
  <dataValidations count="7">
    <dataValidation type="list" allowBlank="1" showInputMessage="1" showErrorMessage="1" sqref="K7" xr:uid="{DAC32270-D9AA-41D7-8F3A-0ECA5C0DED51}">
      <formula1>"CALL,PUT"</formula1>
    </dataValidation>
    <dataValidation type="decimal" operator="greaterThan" allowBlank="1" showInputMessage="1" showErrorMessage="1" sqref="K8" xr:uid="{44A264EE-9157-4289-8362-D7C695400EF9}">
      <formula1>0</formula1>
    </dataValidation>
    <dataValidation type="whole" operator="greaterThanOrEqual" allowBlank="1" showInputMessage="1" showErrorMessage="1" sqref="K10" xr:uid="{ECDEA99B-C7B8-461B-B205-04ABECB4A9EC}">
      <formula1>100</formula1>
    </dataValidation>
    <dataValidation type="decimal" operator="lessThanOrEqual" allowBlank="1" showInputMessage="1" showErrorMessage="1" sqref="K12" xr:uid="{6D764CF0-F675-418A-A339-5E86216822C2}">
      <formula1>CY2</formula1>
    </dataValidation>
    <dataValidation type="date" operator="greaterThanOrEqual" allowBlank="1" showInputMessage="1" showErrorMessage="1" sqref="K9" xr:uid="{4B60D939-22E8-4171-AE72-CA8AC38BA4AC}">
      <formula1>AK2</formula1>
    </dataValidation>
    <dataValidation type="decimal" operator="greaterThanOrEqual" allowBlank="1" showInputMessage="1" showErrorMessage="1" sqref="AB12:AH12" xr:uid="{0BDC62EE-8D0B-4B6C-A0B6-1CFF9986D594}">
      <formula1>0</formula1>
    </dataValidation>
    <dataValidation type="list" allowBlank="1" showInputMessage="1" showErrorMessage="1" sqref="AB11:AH11" xr:uid="{8DE12267-E09B-441A-BA99-A7FA338D63A2}">
      <formula1>"BSM,CRR"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73B2D-C84E-4705-87D9-F7631F0B2BB0}">
  <sheetPr codeName="Sheet2">
    <tabColor rgb="FF0070C0"/>
  </sheetPr>
  <dimension ref="A1:A2"/>
  <sheetViews>
    <sheetView showGridLines="0" workbookViewId="0"/>
  </sheetViews>
  <sheetFormatPr defaultRowHeight="14.4" x14ac:dyDescent="0.3"/>
  <cols>
    <col min="1" max="1" width="13.6640625" bestFit="1" customWidth="1"/>
  </cols>
  <sheetData>
    <row r="1" spans="1:1" x14ac:dyDescent="0.3">
      <c r="A1" t="s">
        <v>86</v>
      </c>
    </row>
    <row r="2" spans="1:1" x14ac:dyDescent="0.3">
      <c r="A2" s="2" t="s">
        <v>87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A5621-0012-48A7-9F27-4FA1790C84B0}">
  <sheetPr codeName="Sheet3">
    <tabColor rgb="FF0070C0"/>
  </sheetPr>
  <dimension ref="A1:B9"/>
  <sheetViews>
    <sheetView showGridLines="0" workbookViewId="0"/>
  </sheetViews>
  <sheetFormatPr defaultRowHeight="14.4" x14ac:dyDescent="0.3"/>
  <cols>
    <col min="1" max="1" width="13.6640625" bestFit="1" customWidth="1"/>
    <col min="2" max="2" width="11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s="2" t="s">
        <v>54</v>
      </c>
      <c r="B2" s="2" t="s">
        <v>9</v>
      </c>
    </row>
    <row r="3" spans="1:2" x14ac:dyDescent="0.3">
      <c r="A3" s="2" t="s">
        <v>1</v>
      </c>
      <c r="B3" s="2" t="s">
        <v>7</v>
      </c>
    </row>
    <row r="4" spans="1:2" x14ac:dyDescent="0.3">
      <c r="A4" s="2" t="s">
        <v>29</v>
      </c>
      <c r="B4" s="2" t="s">
        <v>55</v>
      </c>
    </row>
    <row r="5" spans="1:2" x14ac:dyDescent="0.3">
      <c r="A5" s="2" t="s">
        <v>30</v>
      </c>
      <c r="B5" s="2" t="s">
        <v>56</v>
      </c>
    </row>
    <row r="6" spans="1:2" x14ac:dyDescent="0.3">
      <c r="A6" s="2" t="s">
        <v>57</v>
      </c>
      <c r="B6" s="2" t="s">
        <v>58</v>
      </c>
    </row>
    <row r="7" spans="1:2" x14ac:dyDescent="0.3">
      <c r="A7" s="2" t="s">
        <v>59</v>
      </c>
      <c r="B7" s="2" t="s">
        <v>60</v>
      </c>
    </row>
    <row r="8" spans="1:2" x14ac:dyDescent="0.3">
      <c r="A8" s="2" t="s">
        <v>6</v>
      </c>
      <c r="B8" s="2" t="s">
        <v>148</v>
      </c>
    </row>
    <row r="9" spans="1:2" x14ac:dyDescent="0.3">
      <c r="A9" s="2" t="s">
        <v>61</v>
      </c>
      <c r="B9" s="2" t="s">
        <v>138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726CC-3D53-4803-96CF-B57970B5E322}">
  <sheetPr codeName="Sheet4">
    <tabColor rgb="FF0070C0"/>
  </sheetPr>
  <dimension ref="A1:B9"/>
  <sheetViews>
    <sheetView showGridLines="0" workbookViewId="0"/>
  </sheetViews>
  <sheetFormatPr defaultRowHeight="14.4" x14ac:dyDescent="0.3"/>
  <cols>
    <col min="1" max="1" width="21.6640625" bestFit="1" customWidth="1"/>
    <col min="2" max="2" width="24.6640625" bestFit="1" customWidth="1"/>
  </cols>
  <sheetData>
    <row r="1" spans="1:2" x14ac:dyDescent="0.3">
      <c r="A1" t="s">
        <v>10</v>
      </c>
      <c r="B1" t="s">
        <v>11</v>
      </c>
    </row>
    <row r="2" spans="1:2" x14ac:dyDescent="0.3">
      <c r="A2" s="2" t="s">
        <v>12</v>
      </c>
      <c r="B2" s="2" t="s">
        <v>139</v>
      </c>
    </row>
    <row r="3" spans="1:2" x14ac:dyDescent="0.3">
      <c r="A3" s="2" t="s">
        <v>13</v>
      </c>
      <c r="B3" s="2" t="s">
        <v>14</v>
      </c>
    </row>
    <row r="4" spans="1:2" x14ac:dyDescent="0.3">
      <c r="A4" s="2" t="s">
        <v>15</v>
      </c>
      <c r="B4" s="2" t="s">
        <v>16</v>
      </c>
    </row>
    <row r="5" spans="1:2" x14ac:dyDescent="0.3">
      <c r="A5" s="2" t="s">
        <v>17</v>
      </c>
      <c r="B5" s="2" t="s">
        <v>18</v>
      </c>
    </row>
    <row r="6" spans="1:2" x14ac:dyDescent="0.3">
      <c r="A6" s="2" t="s">
        <v>19</v>
      </c>
      <c r="B6" s="2" t="s">
        <v>20</v>
      </c>
    </row>
    <row r="7" spans="1:2" x14ac:dyDescent="0.3">
      <c r="A7" s="2" t="s">
        <v>21</v>
      </c>
      <c r="B7" s="2" t="s">
        <v>140</v>
      </c>
    </row>
    <row r="8" spans="1:2" x14ac:dyDescent="0.3">
      <c r="A8" s="2" t="s">
        <v>22</v>
      </c>
      <c r="B8" s="2" t="s">
        <v>23</v>
      </c>
    </row>
    <row r="9" spans="1:2" x14ac:dyDescent="0.3">
      <c r="A9" s="2" t="s">
        <v>24</v>
      </c>
      <c r="B9" s="2" t="s">
        <v>8</v>
      </c>
    </row>
  </sheetData>
  <phoneticPr fontId="14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1DDA3-2403-4382-924D-1036C56D7E42}">
  <sheetPr codeName="Sheet5">
    <tabColor rgb="FF0070C0"/>
  </sheetPr>
  <dimension ref="A1:G99"/>
  <sheetViews>
    <sheetView showGridLines="0" workbookViewId="0"/>
  </sheetViews>
  <sheetFormatPr defaultRowHeight="14.4" x14ac:dyDescent="0.3"/>
  <cols>
    <col min="1" max="1" width="10.5546875" bestFit="1" customWidth="1"/>
    <col min="2" max="2" width="7.77734375" bestFit="1" customWidth="1"/>
    <col min="3" max="3" width="7" bestFit="1" customWidth="1"/>
    <col min="4" max="4" width="6.6640625" bestFit="1" customWidth="1"/>
    <col min="5" max="5" width="8.6640625" bestFit="1" customWidth="1"/>
    <col min="6" max="6" width="13" bestFit="1" customWidth="1"/>
    <col min="7" max="7" width="9.7773437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7" x14ac:dyDescent="0.3">
      <c r="A2" s="1">
        <v>44098</v>
      </c>
      <c r="B2" s="2">
        <v>8.5299999999999994</v>
      </c>
      <c r="C2" s="2">
        <v>8.94</v>
      </c>
      <c r="D2" s="2">
        <v>8.41</v>
      </c>
      <c r="E2" s="2">
        <v>8.74</v>
      </c>
      <c r="F2" s="2">
        <v>8.16</v>
      </c>
      <c r="G2" s="2">
        <v>1827000</v>
      </c>
    </row>
    <row r="3" spans="1:7" x14ac:dyDescent="0.3">
      <c r="A3" s="1">
        <v>44099</v>
      </c>
      <c r="B3" s="2">
        <v>8.69</v>
      </c>
      <c r="C3" s="2">
        <v>9.1</v>
      </c>
      <c r="D3" s="2">
        <v>8.69</v>
      </c>
      <c r="E3" s="2">
        <v>9.07</v>
      </c>
      <c r="F3" s="2">
        <v>8.4700000000000006</v>
      </c>
      <c r="G3" s="2">
        <v>1467800</v>
      </c>
    </row>
    <row r="4" spans="1:7" x14ac:dyDescent="0.3">
      <c r="A4" s="1">
        <v>44102</v>
      </c>
      <c r="B4" s="2">
        <v>9.18</v>
      </c>
      <c r="C4" s="2">
        <v>9.57</v>
      </c>
      <c r="D4" s="2">
        <v>9.17</v>
      </c>
      <c r="E4" s="2">
        <v>9.4</v>
      </c>
      <c r="F4" s="2">
        <v>8.7799999999999994</v>
      </c>
      <c r="G4" s="2">
        <v>1445900</v>
      </c>
    </row>
    <row r="5" spans="1:7" x14ac:dyDescent="0.3">
      <c r="A5" s="1">
        <v>44103</v>
      </c>
      <c r="B5" s="2">
        <v>8.9700000000000006</v>
      </c>
      <c r="C5" s="2">
        <v>9.06</v>
      </c>
      <c r="D5" s="2">
        <v>8.7799999999999994</v>
      </c>
      <c r="E5" s="2">
        <v>8.99</v>
      </c>
      <c r="F5" s="2">
        <v>8.7200000000000006</v>
      </c>
      <c r="G5" s="2">
        <v>1757300</v>
      </c>
    </row>
    <row r="6" spans="1:7" x14ac:dyDescent="0.3">
      <c r="A6" s="1">
        <v>44104</v>
      </c>
      <c r="B6" s="2">
        <v>8.99</v>
      </c>
      <c r="C6" s="2">
        <v>9.1199999999999992</v>
      </c>
      <c r="D6" s="2">
        <v>8.9499999999999993</v>
      </c>
      <c r="E6" s="2">
        <v>9.01</v>
      </c>
      <c r="F6" s="2">
        <v>8.74</v>
      </c>
      <c r="G6" s="2">
        <v>1553000</v>
      </c>
    </row>
    <row r="7" spans="1:7" x14ac:dyDescent="0.3">
      <c r="A7" s="1">
        <v>44105</v>
      </c>
      <c r="B7" s="2">
        <v>9.02</v>
      </c>
      <c r="C7" s="2">
        <v>9.16</v>
      </c>
      <c r="D7" s="2">
        <v>8.9499999999999993</v>
      </c>
      <c r="E7" s="2">
        <v>9.16</v>
      </c>
      <c r="F7" s="2">
        <v>8.8800000000000008</v>
      </c>
      <c r="G7" s="2">
        <v>1107000</v>
      </c>
    </row>
    <row r="8" spans="1:7" x14ac:dyDescent="0.3">
      <c r="A8" s="1">
        <v>44106</v>
      </c>
      <c r="B8" s="2">
        <v>8.9499999999999993</v>
      </c>
      <c r="C8" s="2">
        <v>9.48</v>
      </c>
      <c r="D8" s="2">
        <v>8.91</v>
      </c>
      <c r="E8" s="2">
        <v>9.44</v>
      </c>
      <c r="F8" s="2">
        <v>9.15</v>
      </c>
      <c r="G8" s="2">
        <v>1416200</v>
      </c>
    </row>
    <row r="9" spans="1:7" x14ac:dyDescent="0.3">
      <c r="A9" s="1">
        <v>44109</v>
      </c>
      <c r="B9" s="2">
        <v>9.52</v>
      </c>
      <c r="C9" s="2">
        <v>9.6199999999999992</v>
      </c>
      <c r="D9" s="2">
        <v>9.43</v>
      </c>
      <c r="E9" s="2">
        <v>9.4600000000000009</v>
      </c>
      <c r="F9" s="2">
        <v>9.17</v>
      </c>
      <c r="G9" s="2">
        <v>893200</v>
      </c>
    </row>
    <row r="10" spans="1:7" x14ac:dyDescent="0.3">
      <c r="A10" s="1">
        <v>44110</v>
      </c>
      <c r="B10" s="2">
        <v>9.5500000000000007</v>
      </c>
      <c r="C10" s="2">
        <v>9.6999999999999993</v>
      </c>
      <c r="D10" s="2">
        <v>9.26</v>
      </c>
      <c r="E10" s="2">
        <v>9.26</v>
      </c>
      <c r="F10" s="2">
        <v>8.98</v>
      </c>
      <c r="G10" s="2">
        <v>1493700</v>
      </c>
    </row>
    <row r="11" spans="1:7" x14ac:dyDescent="0.3">
      <c r="A11" s="1">
        <v>44111</v>
      </c>
      <c r="B11" s="2">
        <v>9.32</v>
      </c>
      <c r="C11" s="2">
        <v>9.4499999999999993</v>
      </c>
      <c r="D11" s="2">
        <v>9.07</v>
      </c>
      <c r="E11" s="2">
        <v>9.14</v>
      </c>
      <c r="F11" s="2">
        <v>8.86</v>
      </c>
      <c r="G11" s="2">
        <v>1212500</v>
      </c>
    </row>
    <row r="12" spans="1:7" x14ac:dyDescent="0.3">
      <c r="A12" s="1">
        <v>44112</v>
      </c>
      <c r="B12" s="2">
        <v>9.2100000000000009</v>
      </c>
      <c r="C12" s="2">
        <v>9.56</v>
      </c>
      <c r="D12" s="2">
        <v>9.2100000000000009</v>
      </c>
      <c r="E12" s="2">
        <v>9.52</v>
      </c>
      <c r="F12" s="2">
        <v>9.23</v>
      </c>
      <c r="G12" s="2">
        <v>1105500</v>
      </c>
    </row>
    <row r="13" spans="1:7" x14ac:dyDescent="0.3">
      <c r="A13" s="1">
        <v>44113</v>
      </c>
      <c r="B13" s="2">
        <v>9.56</v>
      </c>
      <c r="C13" s="2">
        <v>9.6199999999999992</v>
      </c>
      <c r="D13" s="2">
        <v>9.2200000000000006</v>
      </c>
      <c r="E13" s="2">
        <v>9.24</v>
      </c>
      <c r="F13" s="2">
        <v>8.9600000000000009</v>
      </c>
      <c r="G13" s="2">
        <v>981500</v>
      </c>
    </row>
    <row r="14" spans="1:7" x14ac:dyDescent="0.3">
      <c r="A14" s="1">
        <v>44116</v>
      </c>
      <c r="B14" s="2">
        <v>9.2100000000000009</v>
      </c>
      <c r="C14" s="2">
        <v>9.32</v>
      </c>
      <c r="D14" s="2">
        <v>9.1199999999999992</v>
      </c>
      <c r="E14" s="2">
        <v>9.2899999999999991</v>
      </c>
      <c r="F14" s="2">
        <v>9.01</v>
      </c>
      <c r="G14" s="2">
        <v>802200</v>
      </c>
    </row>
    <row r="15" spans="1:7" x14ac:dyDescent="0.3">
      <c r="A15" s="1">
        <v>44117</v>
      </c>
      <c r="B15" s="2">
        <v>9.19</v>
      </c>
      <c r="C15" s="2">
        <v>9.34</v>
      </c>
      <c r="D15" s="2">
        <v>9.1300000000000008</v>
      </c>
      <c r="E15" s="2">
        <v>9.24</v>
      </c>
      <c r="F15" s="2">
        <v>8.9600000000000009</v>
      </c>
      <c r="G15" s="2">
        <v>844100</v>
      </c>
    </row>
    <row r="16" spans="1:7" x14ac:dyDescent="0.3">
      <c r="A16" s="1">
        <v>44118</v>
      </c>
      <c r="B16" s="2">
        <v>9.25</v>
      </c>
      <c r="C16" s="2">
        <v>9.4600000000000009</v>
      </c>
      <c r="D16" s="2">
        <v>9.2100000000000009</v>
      </c>
      <c r="E16" s="2">
        <v>9.2200000000000006</v>
      </c>
      <c r="F16" s="2">
        <v>8.94</v>
      </c>
      <c r="G16" s="2">
        <v>747400</v>
      </c>
    </row>
    <row r="17" spans="1:7" x14ac:dyDescent="0.3">
      <c r="A17" s="1">
        <v>44119</v>
      </c>
      <c r="B17" s="2">
        <v>9.23</v>
      </c>
      <c r="C17" s="2">
        <v>9.32</v>
      </c>
      <c r="D17" s="2">
        <v>9.1199999999999992</v>
      </c>
      <c r="E17" s="2">
        <v>9.25</v>
      </c>
      <c r="F17" s="2">
        <v>8.9700000000000006</v>
      </c>
      <c r="G17" s="2">
        <v>750100</v>
      </c>
    </row>
    <row r="18" spans="1:7" x14ac:dyDescent="0.3">
      <c r="A18" s="1">
        <v>44120</v>
      </c>
      <c r="B18" s="2">
        <v>9.1999999999999993</v>
      </c>
      <c r="C18" s="2">
        <v>9.26</v>
      </c>
      <c r="D18" s="2">
        <v>9</v>
      </c>
      <c r="E18" s="2">
        <v>9.14</v>
      </c>
      <c r="F18" s="2">
        <v>8.86</v>
      </c>
      <c r="G18" s="2">
        <v>823300</v>
      </c>
    </row>
    <row r="19" spans="1:7" x14ac:dyDescent="0.3">
      <c r="A19" s="1">
        <v>44123</v>
      </c>
      <c r="B19" s="2">
        <v>9.14</v>
      </c>
      <c r="C19" s="2">
        <v>9.14</v>
      </c>
      <c r="D19" s="2">
        <v>8.89</v>
      </c>
      <c r="E19" s="2">
        <v>8.89</v>
      </c>
      <c r="F19" s="2">
        <v>8.6199999999999992</v>
      </c>
      <c r="G19" s="2">
        <v>1221900</v>
      </c>
    </row>
    <row r="20" spans="1:7" x14ac:dyDescent="0.3">
      <c r="A20" s="1">
        <v>44124</v>
      </c>
      <c r="B20" s="2">
        <v>8.94</v>
      </c>
      <c r="C20" s="2">
        <v>9.09</v>
      </c>
      <c r="D20" s="2">
        <v>8.8699999999999992</v>
      </c>
      <c r="E20" s="2">
        <v>8.8800000000000008</v>
      </c>
      <c r="F20" s="2">
        <v>8.61</v>
      </c>
      <c r="G20" s="2">
        <v>1158200</v>
      </c>
    </row>
    <row r="21" spans="1:7" x14ac:dyDescent="0.3">
      <c r="A21" s="1">
        <v>44125</v>
      </c>
      <c r="B21" s="2">
        <v>8.83</v>
      </c>
      <c r="C21" s="2">
        <v>8.99</v>
      </c>
      <c r="D21" s="2">
        <v>8.76</v>
      </c>
      <c r="E21" s="2">
        <v>8.89</v>
      </c>
      <c r="F21" s="2">
        <v>8.6199999999999992</v>
      </c>
      <c r="G21" s="2">
        <v>955300</v>
      </c>
    </row>
    <row r="22" spans="1:7" x14ac:dyDescent="0.3">
      <c r="A22" s="1">
        <v>44126</v>
      </c>
      <c r="B22" s="2">
        <v>8.8800000000000008</v>
      </c>
      <c r="C22" s="2">
        <v>9.0399999999999991</v>
      </c>
      <c r="D22" s="2">
        <v>8.8800000000000008</v>
      </c>
      <c r="E22" s="2">
        <v>8.99</v>
      </c>
      <c r="F22" s="2">
        <v>8.7200000000000006</v>
      </c>
      <c r="G22" s="2">
        <v>954100</v>
      </c>
    </row>
    <row r="23" spans="1:7" x14ac:dyDescent="0.3">
      <c r="A23" s="1">
        <v>44127</v>
      </c>
      <c r="B23" s="2">
        <v>9.01</v>
      </c>
      <c r="C23" s="2">
        <v>9.2200000000000006</v>
      </c>
      <c r="D23" s="2">
        <v>9.01</v>
      </c>
      <c r="E23" s="2">
        <v>9.18</v>
      </c>
      <c r="F23" s="2">
        <v>8.9</v>
      </c>
      <c r="G23" s="2">
        <v>678300</v>
      </c>
    </row>
    <row r="24" spans="1:7" x14ac:dyDescent="0.3">
      <c r="A24" s="1">
        <v>44130</v>
      </c>
      <c r="B24" s="2">
        <v>9.0399999999999991</v>
      </c>
      <c r="C24" s="2">
        <v>9.0399999999999991</v>
      </c>
      <c r="D24" s="2">
        <v>8.44</v>
      </c>
      <c r="E24" s="2">
        <v>8.66</v>
      </c>
      <c r="F24" s="2">
        <v>8.4</v>
      </c>
      <c r="G24" s="2">
        <v>1550100</v>
      </c>
    </row>
    <row r="25" spans="1:7" x14ac:dyDescent="0.3">
      <c r="A25" s="1">
        <v>44131</v>
      </c>
      <c r="B25" s="2">
        <v>9</v>
      </c>
      <c r="C25" s="2">
        <v>9.5399999999999991</v>
      </c>
      <c r="D25" s="2">
        <v>8.9600000000000009</v>
      </c>
      <c r="E25" s="2">
        <v>9.02</v>
      </c>
      <c r="F25" s="2">
        <v>8.75</v>
      </c>
      <c r="G25" s="2">
        <v>1588800</v>
      </c>
    </row>
    <row r="26" spans="1:7" x14ac:dyDescent="0.3">
      <c r="A26" s="1">
        <v>44132</v>
      </c>
      <c r="B26" s="2">
        <v>8.6999999999999993</v>
      </c>
      <c r="C26" s="2">
        <v>8.81</v>
      </c>
      <c r="D26" s="2">
        <v>8.36</v>
      </c>
      <c r="E26" s="2">
        <v>8.48</v>
      </c>
      <c r="F26" s="2">
        <v>8.2200000000000006</v>
      </c>
      <c r="G26" s="2">
        <v>1763700</v>
      </c>
    </row>
    <row r="27" spans="1:7" x14ac:dyDescent="0.3">
      <c r="A27" s="1">
        <v>44133</v>
      </c>
      <c r="B27" s="2">
        <v>8.41</v>
      </c>
      <c r="C27" s="2">
        <v>8.6999999999999993</v>
      </c>
      <c r="D27" s="2">
        <v>8.32</v>
      </c>
      <c r="E27" s="2">
        <v>8.6300000000000008</v>
      </c>
      <c r="F27" s="2">
        <v>8.3699999999999992</v>
      </c>
      <c r="G27" s="2">
        <v>1369400</v>
      </c>
    </row>
    <row r="28" spans="1:7" x14ac:dyDescent="0.3">
      <c r="A28" s="1">
        <v>44134</v>
      </c>
      <c r="B28" s="2">
        <v>8.58</v>
      </c>
      <c r="C28" s="2">
        <v>8.7200000000000006</v>
      </c>
      <c r="D28" s="2">
        <v>8.4600000000000009</v>
      </c>
      <c r="E28" s="2">
        <v>8.6999999999999993</v>
      </c>
      <c r="F28" s="2">
        <v>8.44</v>
      </c>
      <c r="G28" s="2">
        <v>1332400</v>
      </c>
    </row>
    <row r="29" spans="1:7" x14ac:dyDescent="0.3">
      <c r="A29" s="1">
        <v>44137</v>
      </c>
      <c r="B29" s="2">
        <v>8.85</v>
      </c>
      <c r="C29" s="2">
        <v>9.16</v>
      </c>
      <c r="D29" s="2">
        <v>8.75</v>
      </c>
      <c r="E29" s="2">
        <v>9</v>
      </c>
      <c r="F29" s="2">
        <v>8.73</v>
      </c>
      <c r="G29" s="2">
        <v>1003700</v>
      </c>
    </row>
    <row r="30" spans="1:7" x14ac:dyDescent="0.3">
      <c r="A30" s="1">
        <v>44138</v>
      </c>
      <c r="B30" s="2">
        <v>9.17</v>
      </c>
      <c r="C30" s="2">
        <v>9.2899999999999991</v>
      </c>
      <c r="D30" s="2">
        <v>8.94</v>
      </c>
      <c r="E30" s="2">
        <v>9.1</v>
      </c>
      <c r="F30" s="2">
        <v>8.82</v>
      </c>
      <c r="G30" s="2">
        <v>865900</v>
      </c>
    </row>
    <row r="31" spans="1:7" x14ac:dyDescent="0.3">
      <c r="A31" s="1">
        <v>44139</v>
      </c>
      <c r="B31" s="2">
        <v>9.01</v>
      </c>
      <c r="C31" s="2">
        <v>9.11</v>
      </c>
      <c r="D31" s="2">
        <v>8.73</v>
      </c>
      <c r="E31" s="2">
        <v>8.7899999999999991</v>
      </c>
      <c r="F31" s="2">
        <v>8.52</v>
      </c>
      <c r="G31" s="2">
        <v>1201400</v>
      </c>
    </row>
    <row r="32" spans="1:7" x14ac:dyDescent="0.3">
      <c r="A32" s="1">
        <v>44140</v>
      </c>
      <c r="B32" s="2">
        <v>8.84</v>
      </c>
      <c r="C32" s="2">
        <v>8.99</v>
      </c>
      <c r="D32" s="2">
        <v>8.7899999999999991</v>
      </c>
      <c r="E32" s="2">
        <v>8.86</v>
      </c>
      <c r="F32" s="2">
        <v>8.59</v>
      </c>
      <c r="G32" s="2">
        <v>1019400</v>
      </c>
    </row>
    <row r="33" spans="1:7" x14ac:dyDescent="0.3">
      <c r="A33" s="1">
        <v>44141</v>
      </c>
      <c r="B33" s="2">
        <v>8.9</v>
      </c>
      <c r="C33" s="2">
        <v>8.93</v>
      </c>
      <c r="D33" s="2">
        <v>8.6300000000000008</v>
      </c>
      <c r="E33" s="2">
        <v>8.64</v>
      </c>
      <c r="F33" s="2">
        <v>8.3800000000000008</v>
      </c>
      <c r="G33" s="2">
        <v>1024300</v>
      </c>
    </row>
    <row r="34" spans="1:7" x14ac:dyDescent="0.3">
      <c r="A34" s="1">
        <v>44144</v>
      </c>
      <c r="B34" s="2">
        <v>9.08</v>
      </c>
      <c r="C34" s="2">
        <v>10.38</v>
      </c>
      <c r="D34" s="2">
        <v>9.08</v>
      </c>
      <c r="E34" s="2">
        <v>10.01</v>
      </c>
      <c r="F34" s="2">
        <v>9.7100000000000009</v>
      </c>
      <c r="G34" s="2">
        <v>3156300</v>
      </c>
    </row>
    <row r="35" spans="1:7" x14ac:dyDescent="0.3">
      <c r="A35" s="1">
        <v>44145</v>
      </c>
      <c r="B35" s="2">
        <v>10.08</v>
      </c>
      <c r="C35" s="2">
        <v>11.21</v>
      </c>
      <c r="D35" s="2">
        <v>10.039999999999999</v>
      </c>
      <c r="E35" s="2">
        <v>11.06</v>
      </c>
      <c r="F35" s="2">
        <v>10.73</v>
      </c>
      <c r="G35" s="2">
        <v>2728800</v>
      </c>
    </row>
    <row r="36" spans="1:7" x14ac:dyDescent="0.3">
      <c r="A36" s="1">
        <v>44146</v>
      </c>
      <c r="B36" s="2">
        <v>11.13</v>
      </c>
      <c r="C36" s="2">
        <v>11.15</v>
      </c>
      <c r="D36" s="2">
        <v>10.199999999999999</v>
      </c>
      <c r="E36" s="2">
        <v>10.3</v>
      </c>
      <c r="F36" s="2">
        <v>9.99</v>
      </c>
      <c r="G36" s="2">
        <v>1709900</v>
      </c>
    </row>
    <row r="37" spans="1:7" x14ac:dyDescent="0.3">
      <c r="A37" s="1">
        <v>44147</v>
      </c>
      <c r="B37" s="2">
        <v>10.130000000000001</v>
      </c>
      <c r="C37" s="2">
        <v>10.3</v>
      </c>
      <c r="D37" s="2">
        <v>9.86</v>
      </c>
      <c r="E37" s="2">
        <v>9.99</v>
      </c>
      <c r="F37" s="2">
        <v>9.69</v>
      </c>
      <c r="G37" s="2">
        <v>1013000</v>
      </c>
    </row>
    <row r="38" spans="1:7" x14ac:dyDescent="0.3">
      <c r="A38" s="1">
        <v>44148</v>
      </c>
      <c r="B38" s="2">
        <v>10.039999999999999</v>
      </c>
      <c r="C38" s="2">
        <v>10.32</v>
      </c>
      <c r="D38" s="2">
        <v>10.039999999999999</v>
      </c>
      <c r="E38" s="2">
        <v>10.24</v>
      </c>
      <c r="F38" s="2">
        <v>9.93</v>
      </c>
      <c r="G38" s="2">
        <v>890100</v>
      </c>
    </row>
    <row r="39" spans="1:7" x14ac:dyDescent="0.3">
      <c r="A39" s="1">
        <v>44151</v>
      </c>
      <c r="B39" s="2">
        <v>10.72</v>
      </c>
      <c r="C39" s="2">
        <v>10.95</v>
      </c>
      <c r="D39" s="2">
        <v>10.59</v>
      </c>
      <c r="E39" s="2">
        <v>10.75</v>
      </c>
      <c r="F39" s="2">
        <v>10.43</v>
      </c>
      <c r="G39" s="2">
        <v>1417500</v>
      </c>
    </row>
    <row r="40" spans="1:7" x14ac:dyDescent="0.3">
      <c r="A40" s="1">
        <v>44152</v>
      </c>
      <c r="B40" s="2">
        <v>10.64</v>
      </c>
      <c r="C40" s="2">
        <v>10.93</v>
      </c>
      <c r="D40" s="2">
        <v>10.57</v>
      </c>
      <c r="E40" s="2">
        <v>10.86</v>
      </c>
      <c r="F40" s="2">
        <v>10.53</v>
      </c>
      <c r="G40" s="2">
        <v>823800</v>
      </c>
    </row>
    <row r="41" spans="1:7" x14ac:dyDescent="0.3">
      <c r="A41" s="1">
        <v>44153</v>
      </c>
      <c r="B41" s="2">
        <v>10.93</v>
      </c>
      <c r="C41" s="2">
        <v>11.17</v>
      </c>
      <c r="D41" s="2">
        <v>10.72</v>
      </c>
      <c r="E41" s="2">
        <v>10.73</v>
      </c>
      <c r="F41" s="2">
        <v>10.41</v>
      </c>
      <c r="G41" s="2">
        <v>1270400</v>
      </c>
    </row>
    <row r="42" spans="1:7" x14ac:dyDescent="0.3">
      <c r="A42" s="1">
        <v>44154</v>
      </c>
      <c r="B42" s="2">
        <v>10.67</v>
      </c>
      <c r="C42" s="2">
        <v>10.85</v>
      </c>
      <c r="D42" s="2">
        <v>10.5</v>
      </c>
      <c r="E42" s="2">
        <v>10.84</v>
      </c>
      <c r="F42" s="2">
        <v>10.51</v>
      </c>
      <c r="G42" s="2">
        <v>652000</v>
      </c>
    </row>
    <row r="43" spans="1:7" x14ac:dyDescent="0.3">
      <c r="A43" s="1">
        <v>44155</v>
      </c>
      <c r="B43" s="2">
        <v>10.8</v>
      </c>
      <c r="C43" s="2">
        <v>10.84</v>
      </c>
      <c r="D43" s="2">
        <v>10.48</v>
      </c>
      <c r="E43" s="2">
        <v>10.63</v>
      </c>
      <c r="F43" s="2">
        <v>10.31</v>
      </c>
      <c r="G43" s="2">
        <v>954000</v>
      </c>
    </row>
    <row r="44" spans="1:7" x14ac:dyDescent="0.3">
      <c r="A44" s="1">
        <v>44158</v>
      </c>
      <c r="B44" s="2">
        <v>10.74</v>
      </c>
      <c r="C44" s="2">
        <v>11.16</v>
      </c>
      <c r="D44" s="2">
        <v>10.74</v>
      </c>
      <c r="E44" s="2">
        <v>11.09</v>
      </c>
      <c r="F44" s="2">
        <v>10.75</v>
      </c>
      <c r="G44" s="2">
        <v>1409700</v>
      </c>
    </row>
    <row r="45" spans="1:7" x14ac:dyDescent="0.3">
      <c r="A45" s="1">
        <v>44159</v>
      </c>
      <c r="B45" s="2">
        <v>11.35</v>
      </c>
      <c r="C45" s="2">
        <v>11.71</v>
      </c>
      <c r="D45" s="2">
        <v>11.32</v>
      </c>
      <c r="E45" s="2">
        <v>11.41</v>
      </c>
      <c r="F45" s="2">
        <v>11.07</v>
      </c>
      <c r="G45" s="2">
        <v>1584600</v>
      </c>
    </row>
    <row r="46" spans="1:7" x14ac:dyDescent="0.3">
      <c r="A46" s="1">
        <v>44160</v>
      </c>
      <c r="B46" s="2">
        <v>11.38</v>
      </c>
      <c r="C46" s="2">
        <v>11.45</v>
      </c>
      <c r="D46" s="2">
        <v>11.11</v>
      </c>
      <c r="E46" s="2">
        <v>11.32</v>
      </c>
      <c r="F46" s="2">
        <v>10.98</v>
      </c>
      <c r="G46" s="2">
        <v>865500</v>
      </c>
    </row>
    <row r="47" spans="1:7" x14ac:dyDescent="0.3">
      <c r="A47" s="1">
        <v>44162</v>
      </c>
      <c r="B47" s="2">
        <v>11.29</v>
      </c>
      <c r="C47" s="2">
        <v>11.51</v>
      </c>
      <c r="D47" s="2">
        <v>11.19</v>
      </c>
      <c r="E47" s="2">
        <v>11.2</v>
      </c>
      <c r="F47" s="2">
        <v>10.86</v>
      </c>
      <c r="G47" s="2">
        <v>650100</v>
      </c>
    </row>
    <row r="48" spans="1:7" x14ac:dyDescent="0.3">
      <c r="A48" s="1">
        <v>44165</v>
      </c>
      <c r="B48" s="2">
        <v>11.2</v>
      </c>
      <c r="C48" s="2">
        <v>11.26</v>
      </c>
      <c r="D48" s="2">
        <v>10.74</v>
      </c>
      <c r="E48" s="2">
        <v>10.78</v>
      </c>
      <c r="F48" s="2">
        <v>10.45</v>
      </c>
      <c r="G48" s="2">
        <v>1358400</v>
      </c>
    </row>
    <row r="49" spans="1:7" x14ac:dyDescent="0.3">
      <c r="A49" s="1">
        <v>44166</v>
      </c>
      <c r="B49" s="2">
        <v>10.98</v>
      </c>
      <c r="C49" s="2">
        <v>11.18</v>
      </c>
      <c r="D49" s="2">
        <v>10.9</v>
      </c>
      <c r="E49" s="2">
        <v>11.06</v>
      </c>
      <c r="F49" s="2">
        <v>10.73</v>
      </c>
      <c r="G49" s="2">
        <v>1256300</v>
      </c>
    </row>
    <row r="50" spans="1:7" x14ac:dyDescent="0.3">
      <c r="A50" s="1">
        <v>44167</v>
      </c>
      <c r="B50" s="2">
        <v>11.07</v>
      </c>
      <c r="C50" s="2">
        <v>11.36</v>
      </c>
      <c r="D50" s="2">
        <v>10.98</v>
      </c>
      <c r="E50" s="2">
        <v>11.27</v>
      </c>
      <c r="F50" s="2">
        <v>10.93</v>
      </c>
      <c r="G50" s="2">
        <v>987200</v>
      </c>
    </row>
    <row r="51" spans="1:7" x14ac:dyDescent="0.3">
      <c r="A51" s="1">
        <v>44168</v>
      </c>
      <c r="B51" s="2">
        <v>11.4</v>
      </c>
      <c r="C51" s="2">
        <v>11.46</v>
      </c>
      <c r="D51" s="2">
        <v>11.12</v>
      </c>
      <c r="E51" s="2">
        <v>11.15</v>
      </c>
      <c r="F51" s="2">
        <v>10.81</v>
      </c>
      <c r="G51" s="2">
        <v>897400</v>
      </c>
    </row>
    <row r="52" spans="1:7" x14ac:dyDescent="0.3">
      <c r="A52" s="1">
        <v>44169</v>
      </c>
      <c r="B52" s="2">
        <v>11.29</v>
      </c>
      <c r="C52" s="2">
        <v>11.6</v>
      </c>
      <c r="D52" s="2">
        <v>11.29</v>
      </c>
      <c r="E52" s="2">
        <v>11.51</v>
      </c>
      <c r="F52" s="2">
        <v>11.16</v>
      </c>
      <c r="G52" s="2">
        <v>1294900</v>
      </c>
    </row>
    <row r="53" spans="1:7" x14ac:dyDescent="0.3">
      <c r="A53" s="1">
        <v>44172</v>
      </c>
      <c r="B53" s="2">
        <v>11.47</v>
      </c>
      <c r="C53" s="2">
        <v>11.51</v>
      </c>
      <c r="D53" s="2">
        <v>11.15</v>
      </c>
      <c r="E53" s="2">
        <v>11.24</v>
      </c>
      <c r="F53" s="2">
        <v>10.9</v>
      </c>
      <c r="G53" s="2">
        <v>1303500</v>
      </c>
    </row>
    <row r="54" spans="1:7" x14ac:dyDescent="0.3">
      <c r="A54" s="1">
        <v>44173</v>
      </c>
      <c r="B54" s="2">
        <v>11.16</v>
      </c>
      <c r="C54" s="2">
        <v>11.42</v>
      </c>
      <c r="D54" s="2">
        <v>11.14</v>
      </c>
      <c r="E54" s="2">
        <v>11.36</v>
      </c>
      <c r="F54" s="2">
        <v>11.02</v>
      </c>
      <c r="G54" s="2">
        <v>755200</v>
      </c>
    </row>
    <row r="55" spans="1:7" x14ac:dyDescent="0.3">
      <c r="A55" s="1">
        <v>44174</v>
      </c>
      <c r="B55" s="2">
        <v>11.49</v>
      </c>
      <c r="C55" s="2">
        <v>11.49</v>
      </c>
      <c r="D55" s="2">
        <v>11.13</v>
      </c>
      <c r="E55" s="2">
        <v>11.24</v>
      </c>
      <c r="F55" s="2">
        <v>10.9</v>
      </c>
      <c r="G55" s="2">
        <v>793600</v>
      </c>
    </row>
    <row r="56" spans="1:7" x14ac:dyDescent="0.3">
      <c r="A56" s="1">
        <v>44175</v>
      </c>
      <c r="B56" s="2">
        <v>11.12</v>
      </c>
      <c r="C56" s="2">
        <v>11.28</v>
      </c>
      <c r="D56" s="2">
        <v>11.05</v>
      </c>
      <c r="E56" s="2">
        <v>11.16</v>
      </c>
      <c r="F56" s="2">
        <v>10.82</v>
      </c>
      <c r="G56" s="2">
        <v>977700</v>
      </c>
    </row>
    <row r="57" spans="1:7" x14ac:dyDescent="0.3">
      <c r="A57" s="1">
        <v>44176</v>
      </c>
      <c r="B57" s="2">
        <v>11.15</v>
      </c>
      <c r="C57" s="2">
        <v>11.32</v>
      </c>
      <c r="D57" s="2">
        <v>11.09</v>
      </c>
      <c r="E57" s="2">
        <v>11.3</v>
      </c>
      <c r="F57" s="2">
        <v>10.96</v>
      </c>
      <c r="G57" s="2">
        <v>961700</v>
      </c>
    </row>
    <row r="58" spans="1:7" x14ac:dyDescent="0.3">
      <c r="A58" s="1">
        <v>44179</v>
      </c>
      <c r="B58" s="2">
        <v>11.31</v>
      </c>
      <c r="C58" s="2">
        <v>11.6</v>
      </c>
      <c r="D58" s="2">
        <v>11.24</v>
      </c>
      <c r="E58" s="2">
        <v>11.5</v>
      </c>
      <c r="F58" s="2">
        <v>11.15</v>
      </c>
      <c r="G58" s="2">
        <v>1958600</v>
      </c>
    </row>
    <row r="59" spans="1:7" x14ac:dyDescent="0.3">
      <c r="A59" s="1">
        <v>44180</v>
      </c>
      <c r="B59" s="2">
        <v>11.5</v>
      </c>
      <c r="C59" s="2">
        <v>11.86</v>
      </c>
      <c r="D59" s="2">
        <v>11.5</v>
      </c>
      <c r="E59" s="2">
        <v>11.76</v>
      </c>
      <c r="F59" s="2">
        <v>11.4</v>
      </c>
      <c r="G59" s="2">
        <v>1597900</v>
      </c>
    </row>
    <row r="60" spans="1:7" x14ac:dyDescent="0.3">
      <c r="A60" s="1">
        <v>44181</v>
      </c>
      <c r="B60" s="2">
        <v>11.75</v>
      </c>
      <c r="C60" s="2">
        <v>11.83</v>
      </c>
      <c r="D60" s="2">
        <v>11.61</v>
      </c>
      <c r="E60" s="2">
        <v>11.73</v>
      </c>
      <c r="F60" s="2">
        <v>11.38</v>
      </c>
      <c r="G60" s="2">
        <v>1306600</v>
      </c>
    </row>
    <row r="61" spans="1:7" x14ac:dyDescent="0.3">
      <c r="A61" s="1">
        <v>44182</v>
      </c>
      <c r="B61" s="2">
        <v>11.8</v>
      </c>
      <c r="C61" s="2">
        <v>11.85</v>
      </c>
      <c r="D61" s="2">
        <v>11.47</v>
      </c>
      <c r="E61" s="2">
        <v>11.74</v>
      </c>
      <c r="F61" s="2">
        <v>11.39</v>
      </c>
      <c r="G61" s="2">
        <v>1166800</v>
      </c>
    </row>
    <row r="62" spans="1:7" x14ac:dyDescent="0.3">
      <c r="A62" s="1">
        <v>44183</v>
      </c>
      <c r="B62" s="2">
        <v>11.8</v>
      </c>
      <c r="C62" s="2">
        <v>12.05</v>
      </c>
      <c r="D62" s="2">
        <v>11.48</v>
      </c>
      <c r="E62" s="2">
        <v>11.57</v>
      </c>
      <c r="F62" s="2">
        <v>11.22</v>
      </c>
      <c r="G62" s="2">
        <v>4449000</v>
      </c>
    </row>
    <row r="63" spans="1:7" x14ac:dyDescent="0.3">
      <c r="A63" s="1">
        <v>44186</v>
      </c>
      <c r="B63" s="2">
        <v>11.43</v>
      </c>
      <c r="C63" s="2">
        <v>11.54</v>
      </c>
      <c r="D63" s="2">
        <v>11.25</v>
      </c>
      <c r="E63" s="2">
        <v>11.33</v>
      </c>
      <c r="F63" s="2">
        <v>10.99</v>
      </c>
      <c r="G63" s="2">
        <v>1257100</v>
      </c>
    </row>
    <row r="64" spans="1:7" x14ac:dyDescent="0.3">
      <c r="A64" s="1">
        <v>44187</v>
      </c>
      <c r="B64" s="2">
        <v>11.4</v>
      </c>
      <c r="C64" s="2">
        <v>11.47</v>
      </c>
      <c r="D64" s="2">
        <v>11.28</v>
      </c>
      <c r="E64" s="2">
        <v>11.36</v>
      </c>
      <c r="F64" s="2">
        <v>11.02</v>
      </c>
      <c r="G64" s="2">
        <v>799200</v>
      </c>
    </row>
    <row r="65" spans="1:7" x14ac:dyDescent="0.3">
      <c r="A65" s="1">
        <v>44188</v>
      </c>
      <c r="B65" s="2">
        <v>11.39</v>
      </c>
      <c r="C65" s="2">
        <v>11.7</v>
      </c>
      <c r="D65" s="2">
        <v>11.33</v>
      </c>
      <c r="E65" s="2">
        <v>11.49</v>
      </c>
      <c r="F65" s="2">
        <v>11.14</v>
      </c>
      <c r="G65" s="2">
        <v>1376800</v>
      </c>
    </row>
    <row r="66" spans="1:7" x14ac:dyDescent="0.3">
      <c r="A66" s="1">
        <v>44189</v>
      </c>
      <c r="B66" s="2">
        <v>11.55</v>
      </c>
      <c r="C66" s="2">
        <v>11.66</v>
      </c>
      <c r="D66" s="2">
        <v>11.37</v>
      </c>
      <c r="E66" s="2">
        <v>11.54</v>
      </c>
      <c r="F66" s="2">
        <v>11.19</v>
      </c>
      <c r="G66" s="2">
        <v>432400</v>
      </c>
    </row>
    <row r="67" spans="1:7" x14ac:dyDescent="0.3">
      <c r="A67" s="1">
        <v>44193</v>
      </c>
      <c r="B67" s="2">
        <v>11.55</v>
      </c>
      <c r="C67" s="2">
        <v>11.8</v>
      </c>
      <c r="D67" s="2">
        <v>11.55</v>
      </c>
      <c r="E67" s="2">
        <v>11.63</v>
      </c>
      <c r="F67" s="2">
        <v>11.28</v>
      </c>
      <c r="G67" s="2">
        <v>1021000</v>
      </c>
    </row>
    <row r="68" spans="1:7" x14ac:dyDescent="0.3">
      <c r="A68" s="1">
        <v>44194</v>
      </c>
      <c r="B68" s="2">
        <v>11.63</v>
      </c>
      <c r="C68" s="2">
        <v>11.77</v>
      </c>
      <c r="D68" s="2">
        <v>11.52</v>
      </c>
      <c r="E68" s="2">
        <v>11.58</v>
      </c>
      <c r="F68" s="2">
        <v>11.23</v>
      </c>
      <c r="G68" s="2">
        <v>1102600</v>
      </c>
    </row>
    <row r="69" spans="1:7" x14ac:dyDescent="0.3">
      <c r="A69" s="1">
        <v>44195</v>
      </c>
      <c r="B69" s="2">
        <v>11.25</v>
      </c>
      <c r="C69" s="2">
        <v>11.37</v>
      </c>
      <c r="D69" s="2">
        <v>11.15</v>
      </c>
      <c r="E69" s="2">
        <v>11.24</v>
      </c>
      <c r="F69" s="2">
        <v>11.24</v>
      </c>
      <c r="G69" s="2">
        <v>1173300</v>
      </c>
    </row>
    <row r="70" spans="1:7" x14ac:dyDescent="0.3">
      <c r="A70" s="1">
        <v>44196</v>
      </c>
      <c r="B70" s="2">
        <v>11.2</v>
      </c>
      <c r="C70" s="2">
        <v>11.23</v>
      </c>
      <c r="D70" s="2">
        <v>11.03</v>
      </c>
      <c r="E70" s="2">
        <v>11.17</v>
      </c>
      <c r="F70" s="2">
        <v>11.17</v>
      </c>
      <c r="G70" s="2">
        <v>1121400</v>
      </c>
    </row>
    <row r="71" spans="1:7" x14ac:dyDescent="0.3">
      <c r="A71" s="1">
        <v>44200</v>
      </c>
      <c r="B71" s="2">
        <v>11.33</v>
      </c>
      <c r="C71" s="2">
        <v>11.34</v>
      </c>
      <c r="D71" s="2">
        <v>10.69</v>
      </c>
      <c r="E71" s="2">
        <v>10.81</v>
      </c>
      <c r="F71" s="2">
        <v>10.81</v>
      </c>
      <c r="G71" s="2">
        <v>1399800</v>
      </c>
    </row>
    <row r="72" spans="1:7" x14ac:dyDescent="0.3">
      <c r="A72" s="1">
        <v>44201</v>
      </c>
      <c r="B72" s="2">
        <v>10.83</v>
      </c>
      <c r="C72" s="2">
        <v>11</v>
      </c>
      <c r="D72" s="2">
        <v>10.8</v>
      </c>
      <c r="E72" s="2">
        <v>10.91</v>
      </c>
      <c r="F72" s="2">
        <v>10.91</v>
      </c>
      <c r="G72" s="2">
        <v>952200</v>
      </c>
    </row>
    <row r="73" spans="1:7" x14ac:dyDescent="0.3">
      <c r="A73" s="1">
        <v>44202</v>
      </c>
      <c r="B73" s="2">
        <v>11.11</v>
      </c>
      <c r="C73" s="2">
        <v>11.72</v>
      </c>
      <c r="D73" s="2">
        <v>11.1</v>
      </c>
      <c r="E73" s="2">
        <v>11.56</v>
      </c>
      <c r="F73" s="2">
        <v>11.56</v>
      </c>
      <c r="G73" s="2">
        <v>1962400</v>
      </c>
    </row>
    <row r="74" spans="1:7" x14ac:dyDescent="0.3">
      <c r="A74" s="1">
        <v>44203</v>
      </c>
      <c r="B74" s="2">
        <v>11.54</v>
      </c>
      <c r="C74" s="2">
        <v>11.59</v>
      </c>
      <c r="D74" s="2">
        <v>11.14</v>
      </c>
      <c r="E74" s="2">
        <v>11.28</v>
      </c>
      <c r="F74" s="2">
        <v>11.28</v>
      </c>
      <c r="G74" s="2">
        <v>886400</v>
      </c>
    </row>
    <row r="75" spans="1:7" x14ac:dyDescent="0.3">
      <c r="A75" s="1">
        <v>44204</v>
      </c>
      <c r="B75" s="2">
        <v>11.26</v>
      </c>
      <c r="C75" s="2">
        <v>11.31</v>
      </c>
      <c r="D75" s="2">
        <v>11.04</v>
      </c>
      <c r="E75" s="2">
        <v>11.31</v>
      </c>
      <c r="F75" s="2">
        <v>11.31</v>
      </c>
      <c r="G75" s="2">
        <v>997500</v>
      </c>
    </row>
    <row r="76" spans="1:7" x14ac:dyDescent="0.3">
      <c r="A76" s="1">
        <v>44207</v>
      </c>
      <c r="B76" s="2">
        <v>11.22</v>
      </c>
      <c r="C76" s="2">
        <v>11.45</v>
      </c>
      <c r="D76" s="2">
        <v>11.19</v>
      </c>
      <c r="E76" s="2">
        <v>11.25</v>
      </c>
      <c r="F76" s="2">
        <v>11.25</v>
      </c>
      <c r="G76" s="2">
        <v>737900</v>
      </c>
    </row>
    <row r="77" spans="1:7" x14ac:dyDescent="0.3">
      <c r="A77" s="1">
        <v>44208</v>
      </c>
      <c r="B77" s="2">
        <v>11.27</v>
      </c>
      <c r="C77" s="2">
        <v>11.38</v>
      </c>
      <c r="D77" s="2">
        <v>11.2</v>
      </c>
      <c r="E77" s="2">
        <v>11.36</v>
      </c>
      <c r="F77" s="2">
        <v>11.36</v>
      </c>
      <c r="G77" s="2">
        <v>719800</v>
      </c>
    </row>
    <row r="78" spans="1:7" x14ac:dyDescent="0.3">
      <c r="A78" s="1">
        <v>44209</v>
      </c>
      <c r="B78" s="2">
        <v>11.36</v>
      </c>
      <c r="C78" s="2">
        <v>11.55</v>
      </c>
      <c r="D78" s="2">
        <v>11.32</v>
      </c>
      <c r="E78" s="2">
        <v>11.42</v>
      </c>
      <c r="F78" s="2">
        <v>11.42</v>
      </c>
      <c r="G78" s="2">
        <v>567400</v>
      </c>
    </row>
    <row r="79" spans="1:7" x14ac:dyDescent="0.3">
      <c r="A79" s="1">
        <v>44210</v>
      </c>
      <c r="B79" s="2">
        <v>11.51</v>
      </c>
      <c r="C79" s="2">
        <v>11.74</v>
      </c>
      <c r="D79" s="2">
        <v>11.41</v>
      </c>
      <c r="E79" s="2">
        <v>11.71</v>
      </c>
      <c r="F79" s="2">
        <v>11.71</v>
      </c>
      <c r="G79" s="2">
        <v>781300</v>
      </c>
    </row>
    <row r="80" spans="1:7" x14ac:dyDescent="0.3">
      <c r="A80" s="1">
        <v>44211</v>
      </c>
      <c r="B80" s="2">
        <v>11.67</v>
      </c>
      <c r="C80" s="2">
        <v>11.67</v>
      </c>
      <c r="D80" s="2">
        <v>11.45</v>
      </c>
      <c r="E80" s="2">
        <v>11.5</v>
      </c>
      <c r="F80" s="2">
        <v>11.5</v>
      </c>
      <c r="G80" s="2">
        <v>864100</v>
      </c>
    </row>
    <row r="81" spans="1:7" x14ac:dyDescent="0.3">
      <c r="A81" s="1">
        <v>44215</v>
      </c>
      <c r="B81" s="2">
        <v>11.55</v>
      </c>
      <c r="C81" s="2">
        <v>11.7</v>
      </c>
      <c r="D81" s="2">
        <v>11.46</v>
      </c>
      <c r="E81" s="2">
        <v>11.6</v>
      </c>
      <c r="F81" s="2">
        <v>11.6</v>
      </c>
      <c r="G81" s="2">
        <v>823000</v>
      </c>
    </row>
    <row r="82" spans="1:7" x14ac:dyDescent="0.3">
      <c r="A82" s="1">
        <v>44216</v>
      </c>
      <c r="B82" s="2">
        <v>11.61</v>
      </c>
      <c r="C82" s="2">
        <v>11.81</v>
      </c>
      <c r="D82" s="2">
        <v>11.61</v>
      </c>
      <c r="E82" s="2">
        <v>11.78</v>
      </c>
      <c r="F82" s="2">
        <v>11.78</v>
      </c>
      <c r="G82" s="2">
        <v>637900</v>
      </c>
    </row>
    <row r="83" spans="1:7" x14ac:dyDescent="0.3">
      <c r="A83" s="1">
        <v>44217</v>
      </c>
      <c r="B83" s="2">
        <v>11.75</v>
      </c>
      <c r="C83" s="2">
        <v>11.83</v>
      </c>
      <c r="D83" s="2">
        <v>11.54</v>
      </c>
      <c r="E83" s="2">
        <v>11.68</v>
      </c>
      <c r="F83" s="2">
        <v>11.68</v>
      </c>
      <c r="G83" s="2">
        <v>835800</v>
      </c>
    </row>
    <row r="84" spans="1:7" x14ac:dyDescent="0.3">
      <c r="A84" s="1">
        <v>44218</v>
      </c>
      <c r="B84" s="2">
        <v>11.55</v>
      </c>
      <c r="C84" s="2">
        <v>11.84</v>
      </c>
      <c r="D84" s="2">
        <v>11.52</v>
      </c>
      <c r="E84" s="2">
        <v>11.84</v>
      </c>
      <c r="F84" s="2">
        <v>11.84</v>
      </c>
      <c r="G84" s="2">
        <v>741500</v>
      </c>
    </row>
    <row r="85" spans="1:7" x14ac:dyDescent="0.3">
      <c r="A85" s="1">
        <v>44221</v>
      </c>
      <c r="B85" s="2">
        <v>11.75</v>
      </c>
      <c r="C85" s="2">
        <v>11.94</v>
      </c>
      <c r="D85" s="2">
        <v>11.6</v>
      </c>
      <c r="E85" s="2">
        <v>11.9</v>
      </c>
      <c r="F85" s="2">
        <v>11.9</v>
      </c>
      <c r="G85" s="2">
        <v>732600</v>
      </c>
    </row>
    <row r="86" spans="1:7" x14ac:dyDescent="0.3">
      <c r="A86" s="1">
        <v>44222</v>
      </c>
      <c r="B86" s="2">
        <v>11.95</v>
      </c>
      <c r="C86" s="2">
        <v>11.98</v>
      </c>
      <c r="D86" s="2">
        <v>11.68</v>
      </c>
      <c r="E86" s="2">
        <v>11.73</v>
      </c>
      <c r="F86" s="2">
        <v>11.73</v>
      </c>
      <c r="G86" s="2">
        <v>1347700</v>
      </c>
    </row>
    <row r="87" spans="1:7" x14ac:dyDescent="0.3">
      <c r="A87" s="1">
        <v>44223</v>
      </c>
      <c r="B87" s="2">
        <v>11.61</v>
      </c>
      <c r="C87" s="2">
        <v>11.77</v>
      </c>
      <c r="D87" s="2">
        <v>11.53</v>
      </c>
      <c r="E87" s="2">
        <v>11.55</v>
      </c>
      <c r="F87" s="2">
        <v>11.55</v>
      </c>
      <c r="G87" s="2">
        <v>1215100</v>
      </c>
    </row>
    <row r="88" spans="1:7" x14ac:dyDescent="0.3">
      <c r="A88" s="1">
        <v>44224</v>
      </c>
      <c r="B88" s="2">
        <v>11.65</v>
      </c>
      <c r="C88" s="2">
        <v>11.89</v>
      </c>
      <c r="D88" s="2">
        <v>11.49</v>
      </c>
      <c r="E88" s="2">
        <v>11.77</v>
      </c>
      <c r="F88" s="2">
        <v>11.77</v>
      </c>
      <c r="G88" s="2">
        <v>1028600</v>
      </c>
    </row>
    <row r="89" spans="1:7" x14ac:dyDescent="0.3">
      <c r="A89" s="1">
        <v>44225</v>
      </c>
      <c r="B89" s="2">
        <v>11.71</v>
      </c>
      <c r="C89" s="2">
        <v>11.73</v>
      </c>
      <c r="D89" s="2">
        <v>11.18</v>
      </c>
      <c r="E89" s="2">
        <v>11.18</v>
      </c>
      <c r="F89" s="2">
        <v>11.18</v>
      </c>
      <c r="G89" s="2">
        <v>1950100</v>
      </c>
    </row>
    <row r="90" spans="1:7" x14ac:dyDescent="0.3">
      <c r="A90" s="1">
        <v>44228</v>
      </c>
      <c r="B90" s="2">
        <v>11.25</v>
      </c>
      <c r="C90" s="2">
        <v>11.5</v>
      </c>
      <c r="D90" s="2">
        <v>11.02</v>
      </c>
      <c r="E90" s="2">
        <v>11.49</v>
      </c>
      <c r="F90" s="2">
        <v>11.49</v>
      </c>
      <c r="G90" s="2">
        <v>981000</v>
      </c>
    </row>
    <row r="91" spans="1:7" x14ac:dyDescent="0.3">
      <c r="A91" s="1">
        <v>44229</v>
      </c>
      <c r="B91" s="2">
        <v>11.6</v>
      </c>
      <c r="C91" s="2">
        <v>11.75</v>
      </c>
      <c r="D91" s="2">
        <v>11.45</v>
      </c>
      <c r="E91" s="2">
        <v>11.69</v>
      </c>
      <c r="F91" s="2">
        <v>11.69</v>
      </c>
      <c r="G91" s="2">
        <v>995100</v>
      </c>
    </row>
    <row r="92" spans="1:7" x14ac:dyDescent="0.3">
      <c r="A92" s="1">
        <v>44230</v>
      </c>
      <c r="B92" s="2">
        <v>11.69</v>
      </c>
      <c r="C92" s="2">
        <v>11.74</v>
      </c>
      <c r="D92" s="2">
        <v>11.47</v>
      </c>
      <c r="E92" s="2">
        <v>11.5</v>
      </c>
      <c r="F92" s="2">
        <v>11.5</v>
      </c>
      <c r="G92" s="2">
        <v>980600</v>
      </c>
    </row>
    <row r="93" spans="1:7" x14ac:dyDescent="0.3">
      <c r="A93" s="1">
        <v>44231</v>
      </c>
      <c r="B93" s="2">
        <v>11.59</v>
      </c>
      <c r="C93" s="2">
        <v>11.94</v>
      </c>
      <c r="D93" s="2">
        <v>11.58</v>
      </c>
      <c r="E93" s="2">
        <v>11.84</v>
      </c>
      <c r="F93" s="2">
        <v>11.84</v>
      </c>
      <c r="G93" s="2">
        <v>1191700</v>
      </c>
    </row>
    <row r="94" spans="1:7" x14ac:dyDescent="0.3">
      <c r="A94" s="1">
        <v>44232</v>
      </c>
      <c r="B94" s="2">
        <v>11.93</v>
      </c>
      <c r="C94" s="2">
        <v>12.08</v>
      </c>
      <c r="D94" s="2">
        <v>11.85</v>
      </c>
      <c r="E94" s="2">
        <v>11.9</v>
      </c>
      <c r="F94" s="2">
        <v>11.9</v>
      </c>
      <c r="G94" s="2">
        <v>996900</v>
      </c>
    </row>
    <row r="95" spans="1:7" x14ac:dyDescent="0.3">
      <c r="A95" s="1">
        <v>44235</v>
      </c>
      <c r="B95" s="2">
        <v>11.94</v>
      </c>
      <c r="C95" s="2">
        <v>12.18</v>
      </c>
      <c r="D95" s="2">
        <v>11.94</v>
      </c>
      <c r="E95" s="2">
        <v>12.17</v>
      </c>
      <c r="F95" s="2">
        <v>12.17</v>
      </c>
      <c r="G95" s="2">
        <v>682100</v>
      </c>
    </row>
    <row r="96" spans="1:7" x14ac:dyDescent="0.3">
      <c r="A96" s="1">
        <v>44236</v>
      </c>
      <c r="B96" s="2">
        <v>12.15</v>
      </c>
      <c r="C96" s="2">
        <v>12.28</v>
      </c>
      <c r="D96" s="2">
        <v>12.06</v>
      </c>
      <c r="E96" s="2">
        <v>12.17</v>
      </c>
      <c r="F96" s="2">
        <v>12.17</v>
      </c>
      <c r="G96" s="2">
        <v>674300</v>
      </c>
    </row>
    <row r="97" spans="1:7" x14ac:dyDescent="0.3">
      <c r="A97" s="1">
        <v>44237</v>
      </c>
      <c r="B97" s="2">
        <v>12.29</v>
      </c>
      <c r="C97" s="2">
        <v>12.46</v>
      </c>
      <c r="D97" s="2">
        <v>12.21</v>
      </c>
      <c r="E97" s="2">
        <v>12.39</v>
      </c>
      <c r="F97" s="2">
        <v>12.39</v>
      </c>
      <c r="G97" s="2">
        <v>804800</v>
      </c>
    </row>
    <row r="98" spans="1:7" x14ac:dyDescent="0.3">
      <c r="A98" s="1">
        <v>44238</v>
      </c>
      <c r="B98" s="2">
        <v>12.42</v>
      </c>
      <c r="C98" s="2">
        <v>12.8</v>
      </c>
      <c r="D98" s="2">
        <v>12.42</v>
      </c>
      <c r="E98" s="2">
        <v>12.74</v>
      </c>
      <c r="F98" s="2">
        <v>12.74</v>
      </c>
      <c r="G98" s="2">
        <v>1052200</v>
      </c>
    </row>
    <row r="99" spans="1:7" x14ac:dyDescent="0.3">
      <c r="A99" s="1">
        <v>44239</v>
      </c>
      <c r="B99" s="2">
        <v>12.8</v>
      </c>
      <c r="C99" s="2">
        <v>12.98</v>
      </c>
      <c r="D99" s="2">
        <v>12.7</v>
      </c>
      <c r="E99" s="2">
        <v>12.87</v>
      </c>
      <c r="F99" s="2">
        <v>12.87</v>
      </c>
      <c r="G99" s="2">
        <v>776900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431C2-8DBD-4200-BF2B-1CD4A2AEF595}">
  <sheetPr codeName="Sheet6">
    <tabColor theme="7" tint="0.39997558519241921"/>
  </sheetPr>
  <dimension ref="A1:P200"/>
  <sheetViews>
    <sheetView workbookViewId="0"/>
  </sheetViews>
  <sheetFormatPr defaultRowHeight="14.4" x14ac:dyDescent="0.3"/>
  <cols>
    <col min="1" max="1" width="10.5546875" style="1" bestFit="1" customWidth="1"/>
    <col min="3" max="3" width="12.5546875" customWidth="1"/>
    <col min="4" max="4" width="9.5546875" customWidth="1"/>
  </cols>
  <sheetData>
    <row r="1" spans="1:16" x14ac:dyDescent="0.3">
      <c r="A1" s="1" t="s">
        <v>0</v>
      </c>
      <c r="B1" t="s">
        <v>115</v>
      </c>
      <c r="C1" t="s">
        <v>116</v>
      </c>
      <c r="D1" t="s">
        <v>117</v>
      </c>
      <c r="E1" t="s">
        <v>118</v>
      </c>
      <c r="F1" t="s">
        <v>119</v>
      </c>
      <c r="G1" t="s">
        <v>122</v>
      </c>
      <c r="H1" t="s">
        <v>121</v>
      </c>
      <c r="O1" t="s">
        <v>120</v>
      </c>
      <c r="P1">
        <v>0.94</v>
      </c>
    </row>
    <row r="2" spans="1:16" x14ac:dyDescent="0.3">
      <c r="A2" s="1" cm="1">
        <f t="array" ref="A2:A99">YF_Spot[Date]</f>
        <v>44098</v>
      </c>
      <c r="B2">
        <f>IF(A2="","",_xlfn.RANK.EQ(A2,A:A,0))</f>
        <v>98</v>
      </c>
      <c r="C2" s="13">
        <f>IF(A2="","",VLOOKUP(A2,YF_Spot[#All],5,))</f>
        <v>8.74</v>
      </c>
      <c r="G2" s="13"/>
      <c r="H2" s="13"/>
    </row>
    <row r="3" spans="1:16" x14ac:dyDescent="0.3">
      <c r="A3" s="1">
        <v>44099</v>
      </c>
      <c r="B3">
        <f t="shared" ref="B3:B66" si="0">IF(A3="","",_xlfn.RANK.EQ(A3,A:A,0))</f>
        <v>97</v>
      </c>
      <c r="C3" s="13">
        <f>IF(A3="","",VLOOKUP(A3,YF_Spot[#All],5,))</f>
        <v>9.07</v>
      </c>
      <c r="D3" s="12">
        <f>IF(A3="","",LN(C3/C2))</f>
        <v>3.706207445960108E-2</v>
      </c>
      <c r="E3" s="17">
        <f>_xlfn.VAR.S(D3:D200)</f>
        <v>9.0525295689499732E-4</v>
      </c>
      <c r="F3" s="12">
        <f>IF(A3="","",SQRT(E3))</f>
        <v>3.0087421905091789E-2</v>
      </c>
      <c r="G3" s="13">
        <f>IF(A3="","",C3*(1-2*F3))</f>
        <v>8.5242141666416344</v>
      </c>
      <c r="H3" s="13">
        <f>IF(A3="","",C3*(1+2*F3))</f>
        <v>9.6157858333583661</v>
      </c>
    </row>
    <row r="4" spans="1:16" x14ac:dyDescent="0.3">
      <c r="A4" s="1">
        <v>44102</v>
      </c>
      <c r="B4">
        <f t="shared" si="0"/>
        <v>96</v>
      </c>
      <c r="C4" s="13">
        <f>IF(A4="","",VLOOKUP(A4,YF_Spot[#All],5,))</f>
        <v>9.4</v>
      </c>
      <c r="D4" s="12">
        <f t="shared" ref="D4:D67" si="1">IF(A4="","",LN(C4/C3))</f>
        <v>3.5737425148913086E-2</v>
      </c>
      <c r="E4" s="17">
        <f>IF(A4="","",$P$1*E3+(1-$P$1)*D3^2)</f>
        <v>9.333536212762384E-4</v>
      </c>
      <c r="F4" s="12">
        <f t="shared" ref="F4:F67" si="2">IF(A4="","",SQRT(E4))</f>
        <v>3.0550836670641908E-2</v>
      </c>
      <c r="G4" s="13">
        <f t="shared" ref="G4:G67" si="3">IF(A4="","",C4*(1-2*F4))</f>
        <v>8.8256442705919333</v>
      </c>
      <c r="H4" s="13">
        <f t="shared" ref="H4:H67" si="4">IF(A4="","",C4*(1+2*F4))</f>
        <v>9.9743557294080691</v>
      </c>
    </row>
    <row r="5" spans="1:16" x14ac:dyDescent="0.3">
      <c r="A5" s="1">
        <v>44103</v>
      </c>
      <c r="B5">
        <f t="shared" si="0"/>
        <v>95</v>
      </c>
      <c r="C5" s="13">
        <f>IF(A5="","",VLOOKUP(A5,YF_Spot[#All],5,))</f>
        <v>8.99</v>
      </c>
      <c r="D5" s="12">
        <f t="shared" si="1"/>
        <v>-4.4596840792429288E-2</v>
      </c>
      <c r="E5" s="17">
        <f t="shared" ref="E5:E68" si="5">IF(A5="","",$P$1*E4+(1-$P$1)*D4^2)</f>
        <v>9.539822173761141E-4</v>
      </c>
      <c r="F5" s="12">
        <f t="shared" si="2"/>
        <v>3.0886602554766589E-2</v>
      </c>
      <c r="G5" s="13">
        <f t="shared" si="3"/>
        <v>8.4346588860652965</v>
      </c>
      <c r="H5" s="13">
        <f t="shared" si="4"/>
        <v>9.545341113934704</v>
      </c>
    </row>
    <row r="6" spans="1:16" x14ac:dyDescent="0.3">
      <c r="A6" s="1">
        <v>44104</v>
      </c>
      <c r="B6">
        <f t="shared" si="0"/>
        <v>94</v>
      </c>
      <c r="C6" s="13">
        <f>IF(A6="","",VLOOKUP(A6,YF_Spot[#All],5,))</f>
        <v>9.01</v>
      </c>
      <c r="D6" s="12">
        <f t="shared" si="1"/>
        <v>2.2222231367175172E-3</v>
      </c>
      <c r="E6" s="17">
        <f t="shared" si="5"/>
        <v>1.0160759768534644E-3</v>
      </c>
      <c r="F6" s="12">
        <f t="shared" si="2"/>
        <v>3.1875946681682484E-2</v>
      </c>
      <c r="G6" s="13">
        <f t="shared" si="3"/>
        <v>8.4355954407960816</v>
      </c>
      <c r="H6" s="13">
        <f t="shared" si="4"/>
        <v>9.584404559203918</v>
      </c>
    </row>
    <row r="7" spans="1:16" x14ac:dyDescent="0.3">
      <c r="A7" s="1">
        <v>44105</v>
      </c>
      <c r="B7">
        <f t="shared" si="0"/>
        <v>93</v>
      </c>
      <c r="C7" s="13">
        <f>IF(A7="","",VLOOKUP(A7,YF_Spot[#All],5,))</f>
        <v>9.16</v>
      </c>
      <c r="D7" s="12">
        <f t="shared" si="1"/>
        <v>1.6511107065792324E-2</v>
      </c>
      <c r="E7" s="17">
        <f t="shared" si="5"/>
        <v>9.5540771478241828E-4</v>
      </c>
      <c r="F7" s="12">
        <f t="shared" si="2"/>
        <v>3.0909670247066989E-2</v>
      </c>
      <c r="G7" s="13">
        <f t="shared" si="3"/>
        <v>8.5937348410737329</v>
      </c>
      <c r="H7" s="13">
        <f t="shared" si="4"/>
        <v>9.7262651589262674</v>
      </c>
    </row>
    <row r="8" spans="1:16" x14ac:dyDescent="0.3">
      <c r="A8" s="1">
        <v>44106</v>
      </c>
      <c r="B8">
        <f t="shared" si="0"/>
        <v>92</v>
      </c>
      <c r="C8" s="13">
        <f>IF(A8="","",VLOOKUP(A8,YF_Spot[#All],5,))</f>
        <v>9.44</v>
      </c>
      <c r="D8" s="12">
        <f t="shared" si="1"/>
        <v>3.0109801471370382E-2</v>
      </c>
      <c r="E8" s="17">
        <f t="shared" si="5"/>
        <v>9.1444025128775664E-4</v>
      </c>
      <c r="F8" s="12">
        <f t="shared" si="2"/>
        <v>3.0239713148238635E-2</v>
      </c>
      <c r="G8" s="13">
        <f t="shared" si="3"/>
        <v>8.8690742157612537</v>
      </c>
      <c r="H8" s="13">
        <f t="shared" si="4"/>
        <v>10.010925784238744</v>
      </c>
    </row>
    <row r="9" spans="1:16" x14ac:dyDescent="0.3">
      <c r="A9" s="1">
        <v>44109</v>
      </c>
      <c r="B9">
        <f t="shared" si="0"/>
        <v>91</v>
      </c>
      <c r="C9" s="13">
        <f>IF(A9="","",VLOOKUP(A9,YF_Spot[#All],5,))</f>
        <v>9.4600000000000009</v>
      </c>
      <c r="D9" s="12">
        <f t="shared" si="1"/>
        <v>2.1164029063776937E-3</v>
      </c>
      <c r="E9" s="17">
        <f t="shared" si="5"/>
        <v>9.1396984488921159E-4</v>
      </c>
      <c r="F9" s="12">
        <f t="shared" si="2"/>
        <v>3.0231934190342695E-2</v>
      </c>
      <c r="G9" s="13">
        <f t="shared" si="3"/>
        <v>8.8880118051187171</v>
      </c>
      <c r="H9" s="13">
        <f t="shared" si="4"/>
        <v>10.031988194881285</v>
      </c>
    </row>
    <row r="10" spans="1:16" x14ac:dyDescent="0.3">
      <c r="A10" s="1">
        <v>44110</v>
      </c>
      <c r="B10">
        <f t="shared" si="0"/>
        <v>90</v>
      </c>
      <c r="C10" s="13">
        <f>IF(A10="","",VLOOKUP(A10,YF_Spot[#All],5,))</f>
        <v>9.26</v>
      </c>
      <c r="D10" s="12">
        <f t="shared" si="1"/>
        <v>-2.1368334405699026E-2</v>
      </c>
      <c r="E10" s="17">
        <f t="shared" si="5"/>
        <v>8.594004038715862E-4</v>
      </c>
      <c r="F10" s="12">
        <f t="shared" si="2"/>
        <v>2.9315531785584006E-2</v>
      </c>
      <c r="G10" s="13">
        <f t="shared" si="3"/>
        <v>8.7170763513309844</v>
      </c>
      <c r="H10" s="13">
        <f t="shared" si="4"/>
        <v>9.8029236486690152</v>
      </c>
    </row>
    <row r="11" spans="1:16" x14ac:dyDescent="0.3">
      <c r="A11" s="1">
        <v>44111</v>
      </c>
      <c r="B11">
        <f t="shared" si="0"/>
        <v>89</v>
      </c>
      <c r="C11" s="13">
        <f>IF(A11="","",VLOOKUP(A11,YF_Spot[#All],5,))</f>
        <v>9.14</v>
      </c>
      <c r="D11" s="12">
        <f t="shared" si="1"/>
        <v>-1.3043663192029339E-2</v>
      </c>
      <c r="E11" s="17">
        <f t="shared" si="5"/>
        <v>8.3523272255571783E-4</v>
      </c>
      <c r="F11" s="12">
        <f t="shared" si="2"/>
        <v>2.890039312112757E-2</v>
      </c>
      <c r="G11" s="13">
        <f t="shared" si="3"/>
        <v>8.611700813745788</v>
      </c>
      <c r="H11" s="13">
        <f t="shared" si="4"/>
        <v>9.6682991862542131</v>
      </c>
    </row>
    <row r="12" spans="1:16" x14ac:dyDescent="0.3">
      <c r="A12" s="1">
        <v>44112</v>
      </c>
      <c r="B12">
        <f t="shared" si="0"/>
        <v>88</v>
      </c>
      <c r="C12" s="13">
        <f>IF(A12="","",VLOOKUP(A12,YF_Spot[#All],5,))</f>
        <v>9.52</v>
      </c>
      <c r="D12" s="12">
        <f t="shared" si="1"/>
        <v>4.0734463337215129E-2</v>
      </c>
      <c r="E12" s="17">
        <f t="shared" si="5"/>
        <v>7.9532698817040082E-4</v>
      </c>
      <c r="F12" s="12">
        <f t="shared" si="2"/>
        <v>2.820154230127141E-2</v>
      </c>
      <c r="G12" s="13">
        <f t="shared" si="3"/>
        <v>8.983042634583791</v>
      </c>
      <c r="H12" s="13">
        <f t="shared" si="4"/>
        <v>10.056957365416206</v>
      </c>
    </row>
    <row r="13" spans="1:16" x14ac:dyDescent="0.3">
      <c r="A13" s="1">
        <v>44113</v>
      </c>
      <c r="B13">
        <f t="shared" si="0"/>
        <v>87</v>
      </c>
      <c r="C13" s="13">
        <f>IF(A13="","",VLOOKUP(A13,YF_Spot[#All],5,))</f>
        <v>9.24</v>
      </c>
      <c r="D13" s="12">
        <f t="shared" si="1"/>
        <v>-2.9852963149681045E-2</v>
      </c>
      <c r="E13" s="17">
        <f t="shared" si="5"/>
        <v>8.4716515908243222E-4</v>
      </c>
      <c r="F13" s="12">
        <f t="shared" si="2"/>
        <v>2.9106101750018539E-2</v>
      </c>
      <c r="G13" s="13">
        <f t="shared" si="3"/>
        <v>8.7021192396596572</v>
      </c>
      <c r="H13" s="13">
        <f t="shared" si="4"/>
        <v>9.7778807603403415</v>
      </c>
    </row>
    <row r="14" spans="1:16" x14ac:dyDescent="0.3">
      <c r="A14" s="1">
        <v>44116</v>
      </c>
      <c r="B14">
        <f t="shared" si="0"/>
        <v>86</v>
      </c>
      <c r="C14" s="13">
        <f>IF(A14="","",VLOOKUP(A14,YF_Spot[#All],5,))</f>
        <v>9.2899999999999991</v>
      </c>
      <c r="D14" s="12">
        <f t="shared" si="1"/>
        <v>5.3966671721542587E-3</v>
      </c>
      <c r="E14" s="17">
        <f t="shared" si="5"/>
        <v>8.4980721406645917E-4</v>
      </c>
      <c r="F14" s="12">
        <f t="shared" si="2"/>
        <v>2.9151453035251247E-2</v>
      </c>
      <c r="G14" s="13">
        <f t="shared" si="3"/>
        <v>8.7483660026050316</v>
      </c>
      <c r="H14" s="13">
        <f t="shared" si="4"/>
        <v>9.8316339973949667</v>
      </c>
    </row>
    <row r="15" spans="1:16" x14ac:dyDescent="0.3">
      <c r="A15" s="1">
        <v>44117</v>
      </c>
      <c r="B15">
        <f t="shared" si="0"/>
        <v>85</v>
      </c>
      <c r="C15" s="13">
        <f>IF(A15="","",VLOOKUP(A15,YF_Spot[#All],5,))</f>
        <v>9.24</v>
      </c>
      <c r="D15" s="12">
        <f t="shared" si="1"/>
        <v>-5.396667172154276E-3</v>
      </c>
      <c r="E15" s="17">
        <f t="shared" si="5"/>
        <v>8.0056622221649201E-4</v>
      </c>
      <c r="F15" s="12">
        <f t="shared" si="2"/>
        <v>2.8294278966188413E-2</v>
      </c>
      <c r="G15" s="13">
        <f t="shared" si="3"/>
        <v>8.7171217247048389</v>
      </c>
      <c r="H15" s="13">
        <f t="shared" si="4"/>
        <v>9.7628782752951615</v>
      </c>
    </row>
    <row r="16" spans="1:16" x14ac:dyDescent="0.3">
      <c r="A16" s="1">
        <v>44118</v>
      </c>
      <c r="B16">
        <f t="shared" si="0"/>
        <v>84</v>
      </c>
      <c r="C16" s="13">
        <f>IF(A16="","",VLOOKUP(A16,YF_Spot[#All],5,))</f>
        <v>9.2200000000000006</v>
      </c>
      <c r="D16" s="12">
        <f t="shared" si="1"/>
        <v>-2.166848085090314E-3</v>
      </c>
      <c r="E16" s="17">
        <f t="shared" si="5"/>
        <v>7.542796898775229E-4</v>
      </c>
      <c r="F16" s="12">
        <f t="shared" si="2"/>
        <v>2.7464152815579856E-2</v>
      </c>
      <c r="G16" s="13">
        <f t="shared" si="3"/>
        <v>8.7135610220807074</v>
      </c>
      <c r="H16" s="13">
        <f t="shared" si="4"/>
        <v>9.7264389779192939</v>
      </c>
    </row>
    <row r="17" spans="1:8" x14ac:dyDescent="0.3">
      <c r="A17" s="1">
        <v>44119</v>
      </c>
      <c r="B17">
        <f t="shared" si="0"/>
        <v>83</v>
      </c>
      <c r="C17" s="13">
        <f>IF(A17="","",VLOOKUP(A17,YF_Spot[#All],5,))</f>
        <v>9.25</v>
      </c>
      <c r="D17" s="12">
        <f t="shared" si="1"/>
        <v>3.2485139558313084E-3</v>
      </c>
      <c r="E17" s="17">
        <f t="shared" si="5"/>
        <v>7.0930462232230297E-4</v>
      </c>
      <c r="F17" s="12">
        <f t="shared" si="2"/>
        <v>2.6632773462827768E-2</v>
      </c>
      <c r="G17" s="13">
        <f t="shared" si="3"/>
        <v>8.7572936909376864</v>
      </c>
      <c r="H17" s="13">
        <f t="shared" si="4"/>
        <v>9.7427063090623136</v>
      </c>
    </row>
    <row r="18" spans="1:8" x14ac:dyDescent="0.3">
      <c r="A18" s="1">
        <v>44120</v>
      </c>
      <c r="B18">
        <f t="shared" si="0"/>
        <v>82</v>
      </c>
      <c r="C18" s="13">
        <f>IF(A18="","",VLOOKUP(A18,YF_Spot[#All],5,))</f>
        <v>9.14</v>
      </c>
      <c r="D18" s="12">
        <f t="shared" si="1"/>
        <v>-1.1963166058275174E-2</v>
      </c>
      <c r="E18" s="17">
        <f t="shared" si="5"/>
        <v>6.6737951555823863E-4</v>
      </c>
      <c r="F18" s="12">
        <f t="shared" si="2"/>
        <v>2.5833689545983141E-2</v>
      </c>
      <c r="G18" s="13">
        <f t="shared" si="3"/>
        <v>8.6677601550994279</v>
      </c>
      <c r="H18" s="13">
        <f t="shared" si="4"/>
        <v>9.6122398449005733</v>
      </c>
    </row>
    <row r="19" spans="1:8" x14ac:dyDescent="0.3">
      <c r="A19" s="1">
        <v>44123</v>
      </c>
      <c r="B19">
        <f t="shared" si="0"/>
        <v>81</v>
      </c>
      <c r="C19" s="13">
        <f>IF(A19="","",VLOOKUP(A19,YF_Spot[#All],5,))</f>
        <v>8.89</v>
      </c>
      <c r="D19" s="12">
        <f t="shared" si="1"/>
        <v>-2.7733335940245463E-2</v>
      </c>
      <c r="E19" s="17">
        <f t="shared" si="5"/>
        <v>6.3592378515301632E-4</v>
      </c>
      <c r="F19" s="12">
        <f t="shared" si="2"/>
        <v>2.5217529322933606E-2</v>
      </c>
      <c r="G19" s="13">
        <f t="shared" si="3"/>
        <v>8.4416323286382422</v>
      </c>
      <c r="H19" s="13">
        <f t="shared" si="4"/>
        <v>9.3383676713617607</v>
      </c>
    </row>
    <row r="20" spans="1:8" x14ac:dyDescent="0.3">
      <c r="A20" s="1">
        <v>44124</v>
      </c>
      <c r="B20">
        <f t="shared" si="0"/>
        <v>80</v>
      </c>
      <c r="C20" s="13">
        <f>IF(A20="","",VLOOKUP(A20,YF_Spot[#All],5,))</f>
        <v>8.8800000000000008</v>
      </c>
      <c r="D20" s="12">
        <f t="shared" si="1"/>
        <v>-1.1254925217344803E-3</v>
      </c>
      <c r="E20" s="17">
        <f t="shared" si="5"/>
        <v>6.4391663338630599E-4</v>
      </c>
      <c r="F20" s="12">
        <f t="shared" si="2"/>
        <v>2.5375512475343351E-2</v>
      </c>
      <c r="G20" s="13">
        <f t="shared" si="3"/>
        <v>8.4293308984379021</v>
      </c>
      <c r="H20" s="13">
        <f t="shared" si="4"/>
        <v>9.3306691015620977</v>
      </c>
    </row>
    <row r="21" spans="1:8" x14ac:dyDescent="0.3">
      <c r="A21" s="1">
        <v>44125</v>
      </c>
      <c r="B21">
        <f t="shared" si="0"/>
        <v>79</v>
      </c>
      <c r="C21" s="13">
        <f>IF(A21="","",VLOOKUP(A21,YF_Spot[#All],5,))</f>
        <v>8.89</v>
      </c>
      <c r="D21" s="12">
        <f t="shared" si="1"/>
        <v>1.1254925217345582E-3</v>
      </c>
      <c r="E21" s="17">
        <f t="shared" si="5"/>
        <v>6.053576393881164E-4</v>
      </c>
      <c r="F21" s="12">
        <f t="shared" si="2"/>
        <v>2.4604016732804348E-2</v>
      </c>
      <c r="G21" s="13">
        <f t="shared" si="3"/>
        <v>8.4525405824907391</v>
      </c>
      <c r="H21" s="13">
        <f t="shared" si="4"/>
        <v>9.327459417509262</v>
      </c>
    </row>
    <row r="22" spans="1:8" x14ac:dyDescent="0.3">
      <c r="A22" s="1">
        <v>44126</v>
      </c>
      <c r="B22">
        <f t="shared" si="0"/>
        <v>78</v>
      </c>
      <c r="C22" s="13">
        <f>IF(A22="","",VLOOKUP(A22,YF_Spot[#All],5,))</f>
        <v>8.99</v>
      </c>
      <c r="D22" s="12">
        <f t="shared" si="1"/>
        <v>1.1185798957715581E-2</v>
      </c>
      <c r="E22" s="17">
        <f t="shared" si="5"/>
        <v>5.6911218502981827E-4</v>
      </c>
      <c r="F22" s="12">
        <f t="shared" si="2"/>
        <v>2.3856072288409469E-2</v>
      </c>
      <c r="G22" s="13">
        <f t="shared" si="3"/>
        <v>8.5610678202543973</v>
      </c>
      <c r="H22" s="13">
        <f t="shared" si="4"/>
        <v>9.4189321797456032</v>
      </c>
    </row>
    <row r="23" spans="1:8" x14ac:dyDescent="0.3">
      <c r="A23" s="1">
        <v>44127</v>
      </c>
      <c r="B23">
        <f t="shared" si="0"/>
        <v>77</v>
      </c>
      <c r="C23" s="13">
        <f>IF(A23="","",VLOOKUP(A23,YF_Spot[#All],5,))</f>
        <v>9.18</v>
      </c>
      <c r="D23" s="12">
        <f t="shared" si="1"/>
        <v>2.091435614887012E-2</v>
      </c>
      <c r="E23" s="17">
        <f t="shared" si="5"/>
        <v>5.4247277982737499E-4</v>
      </c>
      <c r="F23" s="12">
        <f t="shared" si="2"/>
        <v>2.3291045056574318E-2</v>
      </c>
      <c r="G23" s="13">
        <f t="shared" si="3"/>
        <v>8.7523764127612953</v>
      </c>
      <c r="H23" s="13">
        <f t="shared" si="4"/>
        <v>9.6076235872387041</v>
      </c>
    </row>
    <row r="24" spans="1:8" x14ac:dyDescent="0.3">
      <c r="A24" s="1">
        <v>44130</v>
      </c>
      <c r="B24">
        <f t="shared" si="0"/>
        <v>76</v>
      </c>
      <c r="C24" s="13">
        <f>IF(A24="","",VLOOKUP(A24,YF_Spot[#All],5,))</f>
        <v>8.66</v>
      </c>
      <c r="D24" s="12">
        <f t="shared" si="1"/>
        <v>-5.8312482058055289E-2</v>
      </c>
      <c r="E24" s="17">
        <f t="shared" si="5"/>
        <v>5.3616903062503937E-4</v>
      </c>
      <c r="F24" s="12">
        <f t="shared" si="2"/>
        <v>2.3155324023322137E-2</v>
      </c>
      <c r="G24" s="13">
        <f t="shared" si="3"/>
        <v>8.2589497879160607</v>
      </c>
      <c r="H24" s="13">
        <f t="shared" si="4"/>
        <v>9.0610502120839396</v>
      </c>
    </row>
    <row r="25" spans="1:8" x14ac:dyDescent="0.3">
      <c r="A25" s="1">
        <v>44131</v>
      </c>
      <c r="B25">
        <f t="shared" si="0"/>
        <v>75</v>
      </c>
      <c r="C25" s="13">
        <f>IF(A25="","",VLOOKUP(A25,YF_Spot[#All],5,))</f>
        <v>9.02</v>
      </c>
      <c r="D25" s="12">
        <f t="shared" si="1"/>
        <v>4.0729611500188362E-2</v>
      </c>
      <c r="E25" s="17">
        <f t="shared" si="5"/>
        <v>7.0801962261379846E-4</v>
      </c>
      <c r="F25" s="12">
        <f t="shared" si="2"/>
        <v>2.6608638120238292E-2</v>
      </c>
      <c r="G25" s="13">
        <f t="shared" si="3"/>
        <v>8.5399801683109011</v>
      </c>
      <c r="H25" s="13">
        <f t="shared" si="4"/>
        <v>9.500019831689098</v>
      </c>
    </row>
    <row r="26" spans="1:8" x14ac:dyDescent="0.3">
      <c r="A26" s="1">
        <v>44132</v>
      </c>
      <c r="B26">
        <f t="shared" si="0"/>
        <v>74</v>
      </c>
      <c r="C26" s="13">
        <f>IF(A26="","",VLOOKUP(A26,YF_Spot[#All],5,))</f>
        <v>8.48</v>
      </c>
      <c r="D26" s="12">
        <f t="shared" si="1"/>
        <v>-6.1733884270720532E-2</v>
      </c>
      <c r="E26" s="17">
        <f t="shared" si="5"/>
        <v>7.650725204343472E-4</v>
      </c>
      <c r="F26" s="12">
        <f t="shared" si="2"/>
        <v>2.7659944331729001E-2</v>
      </c>
      <c r="G26" s="13">
        <f t="shared" si="3"/>
        <v>8.0108873441338755</v>
      </c>
      <c r="H26" s="13">
        <f t="shared" si="4"/>
        <v>8.9491126558661254</v>
      </c>
    </row>
    <row r="27" spans="1:8" x14ac:dyDescent="0.3">
      <c r="A27" s="1">
        <v>44133</v>
      </c>
      <c r="B27">
        <f t="shared" si="0"/>
        <v>73</v>
      </c>
      <c r="C27" s="13">
        <f>IF(A27="","",VLOOKUP(A27,YF_Spot[#All],5,))</f>
        <v>8.6300000000000008</v>
      </c>
      <c r="D27" s="12">
        <f t="shared" si="1"/>
        <v>1.7534055291524912E-2</v>
      </c>
      <c r="E27" s="17">
        <f t="shared" si="5"/>
        <v>9.4783251723732948E-4</v>
      </c>
      <c r="F27" s="12">
        <f t="shared" si="2"/>
        <v>3.0786888722917901E-2</v>
      </c>
      <c r="G27" s="13">
        <f t="shared" si="3"/>
        <v>8.0986183006424373</v>
      </c>
      <c r="H27" s="13">
        <f t="shared" si="4"/>
        <v>9.1613816993575643</v>
      </c>
    </row>
    <row r="28" spans="1:8" x14ac:dyDescent="0.3">
      <c r="A28" s="1">
        <v>44134</v>
      </c>
      <c r="B28">
        <f t="shared" si="0"/>
        <v>72</v>
      </c>
      <c r="C28" s="13">
        <f>IF(A28="","",VLOOKUP(A28,YF_Spot[#All],5,))</f>
        <v>8.6999999999999993</v>
      </c>
      <c r="D28" s="12">
        <f t="shared" si="1"/>
        <v>8.0785205652012561E-3</v>
      </c>
      <c r="E28" s="17">
        <f t="shared" si="5"/>
        <v>9.0940915190106488E-4</v>
      </c>
      <c r="F28" s="12">
        <f t="shared" si="2"/>
        <v>3.0156411455958498E-2</v>
      </c>
      <c r="G28" s="13">
        <f t="shared" si="3"/>
        <v>8.1752784406663217</v>
      </c>
      <c r="H28" s="13">
        <f t="shared" si="4"/>
        <v>9.2247215593336769</v>
      </c>
    </row>
    <row r="29" spans="1:8" x14ac:dyDescent="0.3">
      <c r="A29" s="1">
        <v>44137</v>
      </c>
      <c r="B29">
        <f t="shared" si="0"/>
        <v>71</v>
      </c>
      <c r="C29" s="13">
        <f>IF(A29="","",VLOOKUP(A29,YF_Spot[#All],5,))</f>
        <v>9</v>
      </c>
      <c r="D29" s="12">
        <f t="shared" si="1"/>
        <v>3.3901551675681416E-2</v>
      </c>
      <c r="E29" s="17">
        <f t="shared" si="5"/>
        <v>8.5876035245834373E-4</v>
      </c>
      <c r="F29" s="12">
        <f t="shared" si="2"/>
        <v>2.9304613160018745E-2</v>
      </c>
      <c r="G29" s="13">
        <f t="shared" si="3"/>
        <v>8.4725169631196628</v>
      </c>
      <c r="H29" s="13">
        <f t="shared" si="4"/>
        <v>9.5274830368803372</v>
      </c>
    </row>
    <row r="30" spans="1:8" x14ac:dyDescent="0.3">
      <c r="A30" s="1">
        <v>44138</v>
      </c>
      <c r="B30">
        <f t="shared" si="0"/>
        <v>70</v>
      </c>
      <c r="C30" s="13">
        <f>IF(A30="","",VLOOKUP(A30,YF_Spot[#All],5,))</f>
        <v>9.1</v>
      </c>
      <c r="D30" s="12">
        <f t="shared" si="1"/>
        <v>1.1049836186584935E-2</v>
      </c>
      <c r="E30" s="17">
        <f t="shared" si="5"/>
        <v>8.7619364367197698E-4</v>
      </c>
      <c r="F30" s="12">
        <f t="shared" si="2"/>
        <v>2.9600568299814396E-2</v>
      </c>
      <c r="G30" s="13">
        <f t="shared" si="3"/>
        <v>8.5612696569433773</v>
      </c>
      <c r="H30" s="13">
        <f t="shared" si="4"/>
        <v>9.638730343056622</v>
      </c>
    </row>
    <row r="31" spans="1:8" x14ac:dyDescent="0.3">
      <c r="A31" s="1">
        <v>44139</v>
      </c>
      <c r="B31">
        <f t="shared" si="0"/>
        <v>69</v>
      </c>
      <c r="C31" s="13">
        <f>IF(A31="","",VLOOKUP(A31,YF_Spot[#All],5,))</f>
        <v>8.7899999999999991</v>
      </c>
      <c r="D31" s="12">
        <f t="shared" si="1"/>
        <v>-3.4659701825718835E-2</v>
      </c>
      <c r="E31" s="17">
        <f t="shared" si="5"/>
        <v>8.3094795783668005E-4</v>
      </c>
      <c r="F31" s="12">
        <f t="shared" si="2"/>
        <v>2.8826167935344441E-2</v>
      </c>
      <c r="G31" s="13">
        <f t="shared" si="3"/>
        <v>8.2832359676966441</v>
      </c>
      <c r="H31" s="13">
        <f t="shared" si="4"/>
        <v>9.2967640323033542</v>
      </c>
    </row>
    <row r="32" spans="1:8" x14ac:dyDescent="0.3">
      <c r="A32" s="1">
        <v>44140</v>
      </c>
      <c r="B32">
        <f t="shared" si="0"/>
        <v>68</v>
      </c>
      <c r="C32" s="13">
        <f>IF(A32="","",VLOOKUP(A32,YF_Spot[#All],5,))</f>
        <v>8.86</v>
      </c>
      <c r="D32" s="12">
        <f t="shared" si="1"/>
        <v>7.9320529199039935E-3</v>
      </c>
      <c r="E32" s="17">
        <f t="shared" si="5"/>
        <v>8.5316877620534356E-4</v>
      </c>
      <c r="F32" s="12">
        <f t="shared" si="2"/>
        <v>2.9209052983712833E-2</v>
      </c>
      <c r="G32" s="13">
        <f t="shared" si="3"/>
        <v>8.3424155811286074</v>
      </c>
      <c r="H32" s="13">
        <f t="shared" si="4"/>
        <v>9.3775844188713897</v>
      </c>
    </row>
    <row r="33" spans="1:8" x14ac:dyDescent="0.3">
      <c r="A33" s="1">
        <v>44141</v>
      </c>
      <c r="B33">
        <f t="shared" si="0"/>
        <v>67</v>
      </c>
      <c r="C33" s="13">
        <f>IF(A33="","",VLOOKUP(A33,YF_Spot[#All],5,))</f>
        <v>8.64</v>
      </c>
      <c r="D33" s="12">
        <f t="shared" si="1"/>
        <v>-2.5144181801025175E-2</v>
      </c>
      <c r="E33" s="17">
        <f t="shared" si="5"/>
        <v>8.0575369744447238E-4</v>
      </c>
      <c r="F33" s="12">
        <f t="shared" si="2"/>
        <v>2.838580098296457E-2</v>
      </c>
      <c r="G33" s="13">
        <f t="shared" si="3"/>
        <v>8.1494933590143734</v>
      </c>
      <c r="H33" s="13">
        <f t="shared" si="4"/>
        <v>9.1305066409856295</v>
      </c>
    </row>
    <row r="34" spans="1:8" x14ac:dyDescent="0.3">
      <c r="A34" s="1">
        <v>44144</v>
      </c>
      <c r="B34">
        <f t="shared" si="0"/>
        <v>66</v>
      </c>
      <c r="C34" s="13">
        <f>IF(A34="","",VLOOKUP(A34,YF_Spot[#All],5,))</f>
        <v>10.01</v>
      </c>
      <c r="D34" s="12">
        <f t="shared" si="1"/>
        <v>0.14718201051116483</v>
      </c>
      <c r="E34" s="17">
        <f t="shared" si="5"/>
        <v>7.9534226830438434E-4</v>
      </c>
      <c r="F34" s="12">
        <f t="shared" si="2"/>
        <v>2.8201813209515172E-2</v>
      </c>
      <c r="G34" s="13">
        <f t="shared" si="3"/>
        <v>9.4453996995455061</v>
      </c>
      <c r="H34" s="13">
        <f t="shared" si="4"/>
        <v>10.574600300454494</v>
      </c>
    </row>
    <row r="35" spans="1:8" x14ac:dyDescent="0.3">
      <c r="A35" s="1">
        <v>44145</v>
      </c>
      <c r="B35">
        <f t="shared" si="0"/>
        <v>65</v>
      </c>
      <c r="C35" s="13">
        <f>IF(A35="","",VLOOKUP(A35,YF_Spot[#All],5,))</f>
        <v>11.06</v>
      </c>
      <c r="D35" s="12">
        <f t="shared" si="1"/>
        <v>9.9750402767059626E-2</v>
      </c>
      <c r="E35" s="17">
        <f t="shared" si="5"/>
        <v>2.0473743852926405E-3</v>
      </c>
      <c r="F35" s="12">
        <f t="shared" si="2"/>
        <v>4.5247921336704966E-2</v>
      </c>
      <c r="G35" s="13">
        <f t="shared" si="3"/>
        <v>10.059115980032086</v>
      </c>
      <c r="H35" s="13">
        <f t="shared" si="4"/>
        <v>12.060884019967915</v>
      </c>
    </row>
    <row r="36" spans="1:8" x14ac:dyDescent="0.3">
      <c r="A36" s="1">
        <v>44146</v>
      </c>
      <c r="B36">
        <f t="shared" si="0"/>
        <v>64</v>
      </c>
      <c r="C36" s="13">
        <f>IF(A36="","",VLOOKUP(A36,YF_Spot[#All],5,))</f>
        <v>10.3</v>
      </c>
      <c r="D36" s="12">
        <f t="shared" si="1"/>
        <v>-7.1191100858598672E-2</v>
      </c>
      <c r="E36" s="17">
        <f t="shared" si="5"/>
        <v>2.5215404933065194E-3</v>
      </c>
      <c r="F36" s="12">
        <f t="shared" si="2"/>
        <v>5.021494292844033E-2</v>
      </c>
      <c r="G36" s="13">
        <f t="shared" si="3"/>
        <v>9.2655721756741301</v>
      </c>
      <c r="H36" s="13">
        <f t="shared" si="4"/>
        <v>11.334427824325871</v>
      </c>
    </row>
    <row r="37" spans="1:8" x14ac:dyDescent="0.3">
      <c r="A37" s="1">
        <v>44147</v>
      </c>
      <c r="B37">
        <f t="shared" si="0"/>
        <v>63</v>
      </c>
      <c r="C37" s="13">
        <f>IF(A37="","",VLOOKUP(A37,YF_Spot[#All],5,))</f>
        <v>9.99</v>
      </c>
      <c r="D37" s="12">
        <f t="shared" si="1"/>
        <v>-3.055930257512797E-2</v>
      </c>
      <c r="E37" s="17">
        <f t="shared" si="5"/>
        <v>2.6743384341956782E-3</v>
      </c>
      <c r="F37" s="12">
        <f t="shared" si="2"/>
        <v>5.1714006170433924E-2</v>
      </c>
      <c r="G37" s="13">
        <f t="shared" si="3"/>
        <v>8.9567541567147302</v>
      </c>
      <c r="H37" s="13">
        <f t="shared" si="4"/>
        <v>11.023245843285272</v>
      </c>
    </row>
    <row r="38" spans="1:8" x14ac:dyDescent="0.3">
      <c r="A38" s="1">
        <v>44148</v>
      </c>
      <c r="B38">
        <f t="shared" si="0"/>
        <v>62</v>
      </c>
      <c r="C38" s="13">
        <f>IF(A38="","",VLOOKUP(A38,YF_Spot[#All],5,))</f>
        <v>10.24</v>
      </c>
      <c r="D38" s="12">
        <f t="shared" si="1"/>
        <v>2.4717026950899567E-2</v>
      </c>
      <c r="E38" s="17">
        <f t="shared" si="5"/>
        <v>2.5699103865766309E-3</v>
      </c>
      <c r="F38" s="12">
        <f t="shared" si="2"/>
        <v>5.069428356902414E-2</v>
      </c>
      <c r="G38" s="13">
        <f t="shared" si="3"/>
        <v>9.2017810725063853</v>
      </c>
      <c r="H38" s="13">
        <f t="shared" si="4"/>
        <v>11.278218927493615</v>
      </c>
    </row>
    <row r="39" spans="1:8" x14ac:dyDescent="0.3">
      <c r="A39" s="1">
        <v>44151</v>
      </c>
      <c r="B39">
        <f t="shared" si="0"/>
        <v>61</v>
      </c>
      <c r="C39" s="13">
        <f>IF(A39="","",VLOOKUP(A39,YF_Spot[#All],5,))</f>
        <v>10.75</v>
      </c>
      <c r="D39" s="12">
        <f t="shared" si="1"/>
        <v>4.8604134962310079E-2</v>
      </c>
      <c r="E39" s="17">
        <f t="shared" si="5"/>
        <v>2.4523716486595229E-3</v>
      </c>
      <c r="F39" s="12">
        <f t="shared" si="2"/>
        <v>4.9521426157366703E-2</v>
      </c>
      <c r="G39" s="13">
        <f t="shared" si="3"/>
        <v>9.6852893376166165</v>
      </c>
      <c r="H39" s="13">
        <f t="shared" si="4"/>
        <v>11.814710662383384</v>
      </c>
    </row>
    <row r="40" spans="1:8" x14ac:dyDescent="0.3">
      <c r="A40" s="1">
        <v>44152</v>
      </c>
      <c r="B40">
        <f t="shared" si="0"/>
        <v>60</v>
      </c>
      <c r="C40" s="13">
        <f>IF(A40="","",VLOOKUP(A40,YF_Spot[#All],5,))</f>
        <v>10.86</v>
      </c>
      <c r="D40" s="12">
        <f t="shared" si="1"/>
        <v>1.0180559932117523E-2</v>
      </c>
      <c r="E40" s="17">
        <f t="shared" si="5"/>
        <v>2.4469710658660184E-3</v>
      </c>
      <c r="F40" s="12">
        <f t="shared" si="2"/>
        <v>4.9466868365260583E-2</v>
      </c>
      <c r="G40" s="13">
        <f t="shared" si="3"/>
        <v>9.7855796191065387</v>
      </c>
      <c r="H40" s="13">
        <f t="shared" si="4"/>
        <v>11.93442038089346</v>
      </c>
    </row>
    <row r="41" spans="1:8" x14ac:dyDescent="0.3">
      <c r="A41" s="1">
        <v>44153</v>
      </c>
      <c r="B41">
        <f t="shared" si="0"/>
        <v>59</v>
      </c>
      <c r="C41" s="13">
        <f>IF(A41="","",VLOOKUP(A41,YF_Spot[#All],5,))</f>
        <v>10.73</v>
      </c>
      <c r="D41" s="12">
        <f t="shared" si="1"/>
        <v>-1.2042757863182188E-2</v>
      </c>
      <c r="E41" s="17">
        <f t="shared" si="5"/>
        <v>2.3063714299459432E-3</v>
      </c>
      <c r="F41" s="12">
        <f t="shared" si="2"/>
        <v>4.8024696042202532E-2</v>
      </c>
      <c r="G41" s="13">
        <f t="shared" si="3"/>
        <v>9.6993900229343328</v>
      </c>
      <c r="H41" s="13">
        <f t="shared" si="4"/>
        <v>11.760609977065666</v>
      </c>
    </row>
    <row r="42" spans="1:8" x14ac:dyDescent="0.3">
      <c r="A42" s="1">
        <v>44154</v>
      </c>
      <c r="B42">
        <f t="shared" si="0"/>
        <v>58</v>
      </c>
      <c r="C42" s="13">
        <f>IF(A42="","",VLOOKUP(A42,YF_Spot[#All],5,))</f>
        <v>10.84</v>
      </c>
      <c r="D42" s="12">
        <f t="shared" si="1"/>
        <v>1.0199439368893049E-2</v>
      </c>
      <c r="E42" s="17">
        <f t="shared" si="5"/>
        <v>2.1766908251662606E-3</v>
      </c>
      <c r="F42" s="12">
        <f t="shared" si="2"/>
        <v>4.6655019292314741E-2</v>
      </c>
      <c r="G42" s="13">
        <f t="shared" si="3"/>
        <v>9.8285191817426156</v>
      </c>
      <c r="H42" s="13">
        <f t="shared" si="4"/>
        <v>11.851480818257384</v>
      </c>
    </row>
    <row r="43" spans="1:8" x14ac:dyDescent="0.3">
      <c r="A43" s="1">
        <v>44155</v>
      </c>
      <c r="B43">
        <f t="shared" si="0"/>
        <v>57</v>
      </c>
      <c r="C43" s="13">
        <f>IF(A43="","",VLOOKUP(A43,YF_Spot[#All],5,))</f>
        <v>10.63</v>
      </c>
      <c r="D43" s="12">
        <f t="shared" si="1"/>
        <v>-1.9562803657643492E-2</v>
      </c>
      <c r="E43" s="17">
        <f t="shared" si="5"/>
        <v>2.0523310894626683E-3</v>
      </c>
      <c r="F43" s="12">
        <f t="shared" si="2"/>
        <v>4.5302660953443652E-2</v>
      </c>
      <c r="G43" s="13">
        <f t="shared" si="3"/>
        <v>9.666865428129789</v>
      </c>
      <c r="H43" s="13">
        <f t="shared" si="4"/>
        <v>11.593134571870214</v>
      </c>
    </row>
    <row r="44" spans="1:8" x14ac:dyDescent="0.3">
      <c r="A44" s="1">
        <v>44158</v>
      </c>
      <c r="B44">
        <f t="shared" si="0"/>
        <v>56</v>
      </c>
      <c r="C44" s="13">
        <f>IF(A44="","",VLOOKUP(A44,YF_Spot[#All],5,))</f>
        <v>11.09</v>
      </c>
      <c r="D44" s="12">
        <f t="shared" si="1"/>
        <v>4.2363609008419109E-2</v>
      </c>
      <c r="E44" s="17">
        <f t="shared" si="5"/>
        <v>1.9521534213117586E-3</v>
      </c>
      <c r="F44" s="12">
        <f t="shared" si="2"/>
        <v>4.4183180298748966E-2</v>
      </c>
      <c r="G44" s="13">
        <f t="shared" si="3"/>
        <v>10.110017060973748</v>
      </c>
      <c r="H44" s="13">
        <f t="shared" si="4"/>
        <v>12.069982939026254</v>
      </c>
    </row>
    <row r="45" spans="1:8" x14ac:dyDescent="0.3">
      <c r="A45" s="1">
        <v>44159</v>
      </c>
      <c r="B45">
        <f t="shared" si="0"/>
        <v>55</v>
      </c>
      <c r="C45" s="13">
        <f>IF(A45="","",VLOOKUP(A45,YF_Spot[#All],5,))</f>
        <v>11.41</v>
      </c>
      <c r="D45" s="12">
        <f t="shared" si="1"/>
        <v>2.8446362511708592E-2</v>
      </c>
      <c r="E45" s="17">
        <f t="shared" si="5"/>
        <v>1.9427047381261457E-3</v>
      </c>
      <c r="F45" s="12">
        <f t="shared" si="2"/>
        <v>4.4076124354645176E-2</v>
      </c>
      <c r="G45" s="13">
        <f t="shared" si="3"/>
        <v>10.404182842226996</v>
      </c>
      <c r="H45" s="13">
        <f t="shared" si="4"/>
        <v>12.415817157773002</v>
      </c>
    </row>
    <row r="46" spans="1:8" x14ac:dyDescent="0.3">
      <c r="A46" s="1">
        <v>44160</v>
      </c>
      <c r="B46">
        <f t="shared" si="0"/>
        <v>54</v>
      </c>
      <c r="C46" s="13">
        <f>IF(A46="","",VLOOKUP(A46,YF_Spot[#All],5,))</f>
        <v>11.32</v>
      </c>
      <c r="D46" s="12">
        <f t="shared" si="1"/>
        <v>-7.9190910989473343E-3</v>
      </c>
      <c r="E46" s="17">
        <f t="shared" si="5"/>
        <v>1.8746941862474293E-3</v>
      </c>
      <c r="F46" s="12">
        <f t="shared" si="2"/>
        <v>4.3297738812176197E-2</v>
      </c>
      <c r="G46" s="13">
        <f t="shared" si="3"/>
        <v>10.339739193292331</v>
      </c>
      <c r="H46" s="13">
        <f t="shared" si="4"/>
        <v>12.300260806707671</v>
      </c>
    </row>
    <row r="47" spans="1:8" x14ac:dyDescent="0.3">
      <c r="A47" s="1">
        <v>44162</v>
      </c>
      <c r="B47">
        <f t="shared" si="0"/>
        <v>53</v>
      </c>
      <c r="C47" s="13">
        <f>IF(A47="","",VLOOKUP(A47,YF_Spot[#All],5,))</f>
        <v>11.2</v>
      </c>
      <c r="D47" s="12">
        <f t="shared" si="1"/>
        <v>-1.0657294473988093E-2</v>
      </c>
      <c r="E47" s="17">
        <f t="shared" si="5"/>
        <v>1.7659752553025891E-3</v>
      </c>
      <c r="F47" s="12">
        <f t="shared" si="2"/>
        <v>4.2023508364992433E-2</v>
      </c>
      <c r="G47" s="13">
        <f t="shared" si="3"/>
        <v>10.258673412624169</v>
      </c>
      <c r="H47" s="13">
        <f t="shared" si="4"/>
        <v>12.141326587375831</v>
      </c>
    </row>
    <row r="48" spans="1:8" x14ac:dyDescent="0.3">
      <c r="A48" s="1">
        <v>44165</v>
      </c>
      <c r="B48">
        <f t="shared" si="0"/>
        <v>52</v>
      </c>
      <c r="C48" s="13">
        <f>IF(A48="","",VLOOKUP(A48,YF_Spot[#All],5,))</f>
        <v>10.78</v>
      </c>
      <c r="D48" s="12">
        <f t="shared" si="1"/>
        <v>-3.8221212820197741E-2</v>
      </c>
      <c r="E48" s="17">
        <f t="shared" si="5"/>
        <v>1.6668314155147514E-3</v>
      </c>
      <c r="F48" s="12">
        <f t="shared" si="2"/>
        <v>4.0826846749592985E-2</v>
      </c>
      <c r="G48" s="13">
        <f t="shared" si="3"/>
        <v>9.899773184078775</v>
      </c>
      <c r="H48" s="13">
        <f t="shared" si="4"/>
        <v>11.660226815921225</v>
      </c>
    </row>
    <row r="49" spans="1:8" x14ac:dyDescent="0.3">
      <c r="A49" s="1">
        <v>44166</v>
      </c>
      <c r="B49">
        <f t="shared" si="0"/>
        <v>51</v>
      </c>
      <c r="C49" s="13">
        <f>IF(A49="","",VLOOKUP(A49,YF_Spot[#All],5,))</f>
        <v>11.06</v>
      </c>
      <c r="D49" s="12">
        <f t="shared" si="1"/>
        <v>2.5642430613337652E-2</v>
      </c>
      <c r="E49" s="17">
        <f t="shared" si="5"/>
        <v>1.6544731971506773E-3</v>
      </c>
      <c r="F49" s="12">
        <f t="shared" si="2"/>
        <v>4.0675216006195683E-2</v>
      </c>
      <c r="G49" s="13">
        <f t="shared" si="3"/>
        <v>10.160264221942953</v>
      </c>
      <c r="H49" s="13">
        <f t="shared" si="4"/>
        <v>11.95973577805705</v>
      </c>
    </row>
    <row r="50" spans="1:8" x14ac:dyDescent="0.3">
      <c r="A50" s="1">
        <v>44167</v>
      </c>
      <c r="B50">
        <f t="shared" si="0"/>
        <v>50</v>
      </c>
      <c r="C50" s="13">
        <f>IF(A50="","",VLOOKUP(A50,YF_Spot[#All],5,))</f>
        <v>11.27</v>
      </c>
      <c r="D50" s="12">
        <f t="shared" si="1"/>
        <v>1.8809331957496074E-2</v>
      </c>
      <c r="E50" s="17">
        <f t="shared" si="5"/>
        <v>1.5946568601872269E-3</v>
      </c>
      <c r="F50" s="12">
        <f t="shared" si="2"/>
        <v>3.993315489899623E-2</v>
      </c>
      <c r="G50" s="13">
        <f t="shared" si="3"/>
        <v>10.369906688576624</v>
      </c>
      <c r="H50" s="13">
        <f t="shared" si="4"/>
        <v>12.170093311423374</v>
      </c>
    </row>
    <row r="51" spans="1:8" x14ac:dyDescent="0.3">
      <c r="A51" s="1">
        <v>44168</v>
      </c>
      <c r="B51">
        <f t="shared" si="0"/>
        <v>49</v>
      </c>
      <c r="C51" s="13">
        <f>IF(A51="","",VLOOKUP(A51,YF_Spot[#All],5,))</f>
        <v>11.15</v>
      </c>
      <c r="D51" s="12">
        <f t="shared" si="1"/>
        <v>-1.0704830145557093E-2</v>
      </c>
      <c r="E51" s="17">
        <f t="shared" si="5"/>
        <v>1.5202049066972301E-3</v>
      </c>
      <c r="F51" s="12">
        <f t="shared" si="2"/>
        <v>3.8989805163622326E-2</v>
      </c>
      <c r="G51" s="13">
        <f t="shared" si="3"/>
        <v>10.280527344851222</v>
      </c>
      <c r="H51" s="13">
        <f t="shared" si="4"/>
        <v>12.01947265514878</v>
      </c>
    </row>
    <row r="52" spans="1:8" x14ac:dyDescent="0.3">
      <c r="A52" s="1">
        <v>44169</v>
      </c>
      <c r="B52">
        <f t="shared" si="0"/>
        <v>48</v>
      </c>
      <c r="C52" s="13">
        <f>IF(A52="","",VLOOKUP(A52,YF_Spot[#All],5,))</f>
        <v>11.51</v>
      </c>
      <c r="D52" s="12">
        <f t="shared" si="1"/>
        <v>3.1776724827663472E-2</v>
      </c>
      <c r="E52" s="17">
        <f t="shared" si="5"/>
        <v>1.43586821560211E-3</v>
      </c>
      <c r="F52" s="12">
        <f t="shared" si="2"/>
        <v>3.7892851774472054E-2</v>
      </c>
      <c r="G52" s="13">
        <f t="shared" si="3"/>
        <v>10.637706552151654</v>
      </c>
      <c r="H52" s="13">
        <f t="shared" si="4"/>
        <v>12.382293447848348</v>
      </c>
    </row>
    <row r="53" spans="1:8" x14ac:dyDescent="0.3">
      <c r="A53" s="1">
        <v>44172</v>
      </c>
      <c r="B53">
        <f t="shared" si="0"/>
        <v>47</v>
      </c>
      <c r="C53" s="13">
        <f>IF(A53="","",VLOOKUP(A53,YF_Spot[#All],5,))</f>
        <v>11.24</v>
      </c>
      <c r="D53" s="12">
        <f t="shared" si="1"/>
        <v>-2.37373782682462E-2</v>
      </c>
      <c r="E53" s="17">
        <f t="shared" si="5"/>
        <v>1.410301737112366E-3</v>
      </c>
      <c r="F53" s="12">
        <f t="shared" si="2"/>
        <v>3.7553984304097031E-2</v>
      </c>
      <c r="G53" s="13">
        <f t="shared" si="3"/>
        <v>10.395786432843899</v>
      </c>
      <c r="H53" s="13">
        <f t="shared" si="4"/>
        <v>12.084213567156102</v>
      </c>
    </row>
    <row r="54" spans="1:8" x14ac:dyDescent="0.3">
      <c r="A54" s="1">
        <v>44173</v>
      </c>
      <c r="B54">
        <f t="shared" si="0"/>
        <v>46</v>
      </c>
      <c r="C54" s="13">
        <f>IF(A54="","",VLOOKUP(A54,YF_Spot[#All],5,))</f>
        <v>11.36</v>
      </c>
      <c r="D54" s="12">
        <f t="shared" si="1"/>
        <v>1.0619568827460131E-2</v>
      </c>
      <c r="E54" s="17">
        <f t="shared" si="5"/>
        <v>1.3594914205086123E-3</v>
      </c>
      <c r="F54" s="12">
        <f t="shared" si="2"/>
        <v>3.6871281785538897E-2</v>
      </c>
      <c r="G54" s="13">
        <f t="shared" si="3"/>
        <v>10.522284477832557</v>
      </c>
      <c r="H54" s="13">
        <f t="shared" si="4"/>
        <v>12.197715522167442</v>
      </c>
    </row>
    <row r="55" spans="1:8" x14ac:dyDescent="0.3">
      <c r="A55" s="1">
        <v>44174</v>
      </c>
      <c r="B55">
        <f t="shared" si="0"/>
        <v>45</v>
      </c>
      <c r="C55" s="13">
        <f>IF(A55="","",VLOOKUP(A55,YF_Spot[#All],5,))</f>
        <v>11.24</v>
      </c>
      <c r="D55" s="12">
        <f t="shared" si="1"/>
        <v>-1.0619568827460261E-2</v>
      </c>
      <c r="E55" s="17">
        <f t="shared" si="5"/>
        <v>1.2846884498029652E-3</v>
      </c>
      <c r="F55" s="12">
        <f t="shared" si="2"/>
        <v>3.5842550827235573E-2</v>
      </c>
      <c r="G55" s="13">
        <f t="shared" si="3"/>
        <v>10.434259457403744</v>
      </c>
      <c r="H55" s="13">
        <f t="shared" si="4"/>
        <v>12.045740542596254</v>
      </c>
    </row>
    <row r="56" spans="1:8" x14ac:dyDescent="0.3">
      <c r="A56" s="1">
        <v>44175</v>
      </c>
      <c r="B56">
        <f t="shared" si="0"/>
        <v>44</v>
      </c>
      <c r="C56" s="13">
        <f>IF(A56="","",VLOOKUP(A56,YF_Spot[#All],5,))</f>
        <v>11.16</v>
      </c>
      <c r="D56" s="12">
        <f t="shared" si="1"/>
        <v>-7.1428875123801137E-3</v>
      </c>
      <c r="E56" s="17">
        <f t="shared" si="5"/>
        <v>1.2143736573396572E-3</v>
      </c>
      <c r="F56" s="12">
        <f t="shared" si="2"/>
        <v>3.4847864458810919E-2</v>
      </c>
      <c r="G56" s="13">
        <f t="shared" si="3"/>
        <v>10.38219566527934</v>
      </c>
      <c r="H56" s="13">
        <f t="shared" si="4"/>
        <v>11.93780433472066</v>
      </c>
    </row>
    <row r="57" spans="1:8" x14ac:dyDescent="0.3">
      <c r="A57" s="1">
        <v>44176</v>
      </c>
      <c r="B57">
        <f t="shared" si="0"/>
        <v>43</v>
      </c>
      <c r="C57" s="13">
        <f>IF(A57="","",VLOOKUP(A57,YF_Spot[#All],5,))</f>
        <v>11.3</v>
      </c>
      <c r="D57" s="12">
        <f t="shared" si="1"/>
        <v>1.2466768765130067E-2</v>
      </c>
      <c r="E57" s="17">
        <f t="shared" si="5"/>
        <v>1.1445724884201487E-3</v>
      </c>
      <c r="F57" s="12">
        <f t="shared" si="2"/>
        <v>3.3831530979548483E-2</v>
      </c>
      <c r="G57" s="13">
        <f t="shared" si="3"/>
        <v>10.535407399862205</v>
      </c>
      <c r="H57" s="13">
        <f t="shared" si="4"/>
        <v>12.064592600137797</v>
      </c>
    </row>
    <row r="58" spans="1:8" x14ac:dyDescent="0.3">
      <c r="A58" s="1">
        <v>44179</v>
      </c>
      <c r="B58">
        <f t="shared" si="0"/>
        <v>42</v>
      </c>
      <c r="C58" s="13">
        <f>IF(A58="","",VLOOKUP(A58,YF_Spot[#All],5,))</f>
        <v>11.5</v>
      </c>
      <c r="D58" s="12">
        <f t="shared" si="1"/>
        <v>1.7544309650909525E-2</v>
      </c>
      <c r="E58" s="17">
        <f t="shared" si="5"/>
        <v>1.085223358521533E-3</v>
      </c>
      <c r="F58" s="12">
        <f t="shared" si="2"/>
        <v>3.2942728462007104E-2</v>
      </c>
      <c r="G58" s="13">
        <f t="shared" si="3"/>
        <v>10.742317245373837</v>
      </c>
      <c r="H58" s="13">
        <f t="shared" si="4"/>
        <v>12.257682754626163</v>
      </c>
    </row>
    <row r="59" spans="1:8" x14ac:dyDescent="0.3">
      <c r="A59" s="1">
        <v>44180</v>
      </c>
      <c r="B59">
        <f t="shared" si="0"/>
        <v>41</v>
      </c>
      <c r="C59" s="13">
        <f>IF(A59="","",VLOOKUP(A59,YF_Spot[#All],5,))</f>
        <v>11.76</v>
      </c>
      <c r="D59" s="12">
        <f t="shared" si="1"/>
        <v>2.2356907101276396E-2</v>
      </c>
      <c r="E59" s="17">
        <f t="shared" si="5"/>
        <v>1.0385781250778609E-3</v>
      </c>
      <c r="F59" s="12">
        <f t="shared" si="2"/>
        <v>3.2226978218223637E-2</v>
      </c>
      <c r="G59" s="13">
        <f t="shared" si="3"/>
        <v>11.00202147230738</v>
      </c>
      <c r="H59" s="13">
        <f t="shared" si="4"/>
        <v>12.51797852769262</v>
      </c>
    </row>
    <row r="60" spans="1:8" x14ac:dyDescent="0.3">
      <c r="A60" s="1">
        <v>44181</v>
      </c>
      <c r="B60">
        <f t="shared" si="0"/>
        <v>40</v>
      </c>
      <c r="C60" s="13">
        <f>IF(A60="","",VLOOKUP(A60,YF_Spot[#All],5,))</f>
        <v>11.73</v>
      </c>
      <c r="D60" s="12">
        <f t="shared" si="1"/>
        <v>-2.5542798050967423E-3</v>
      </c>
      <c r="E60" s="17">
        <f t="shared" si="5"/>
        <v>1.0062533152812954E-3</v>
      </c>
      <c r="F60" s="12">
        <f t="shared" si="2"/>
        <v>3.1721496107234529E-2</v>
      </c>
      <c r="G60" s="13">
        <f t="shared" si="3"/>
        <v>10.985813701324279</v>
      </c>
      <c r="H60" s="13">
        <f t="shared" si="4"/>
        <v>12.474186298675722</v>
      </c>
    </row>
    <row r="61" spans="1:8" x14ac:dyDescent="0.3">
      <c r="A61" s="1">
        <v>44182</v>
      </c>
      <c r="B61">
        <f t="shared" si="0"/>
        <v>39</v>
      </c>
      <c r="C61" s="13">
        <f>IF(A61="","",VLOOKUP(A61,YF_Spot[#All],5,))</f>
        <v>11.74</v>
      </c>
      <c r="D61" s="12">
        <f t="shared" si="1"/>
        <v>8.5215173456627293E-4</v>
      </c>
      <c r="E61" s="17">
        <f t="shared" si="5"/>
        <v>9.4626957708378106E-4</v>
      </c>
      <c r="F61" s="12">
        <f t="shared" si="2"/>
        <v>3.0761495039802293E-2</v>
      </c>
      <c r="G61" s="13">
        <f t="shared" si="3"/>
        <v>11.017720096465442</v>
      </c>
      <c r="H61" s="13">
        <f t="shared" si="4"/>
        <v>12.462279903534558</v>
      </c>
    </row>
    <row r="62" spans="1:8" x14ac:dyDescent="0.3">
      <c r="A62" s="1">
        <v>44183</v>
      </c>
      <c r="B62">
        <f t="shared" si="0"/>
        <v>38</v>
      </c>
      <c r="C62" s="13">
        <f>IF(A62="","",VLOOKUP(A62,YF_Spot[#All],5,))</f>
        <v>11.57</v>
      </c>
      <c r="D62" s="12">
        <f t="shared" si="1"/>
        <v>-1.4586273194365139E-2</v>
      </c>
      <c r="E62" s="17">
        <f t="shared" si="5"/>
        <v>8.895369722134776E-4</v>
      </c>
      <c r="F62" s="12">
        <f t="shared" si="2"/>
        <v>2.982510640741249E-2</v>
      </c>
      <c r="G62" s="13">
        <f t="shared" si="3"/>
        <v>10.879847037732475</v>
      </c>
      <c r="H62" s="13">
        <f t="shared" si="4"/>
        <v>12.260152962267526</v>
      </c>
    </row>
    <row r="63" spans="1:8" x14ac:dyDescent="0.3">
      <c r="A63" s="1">
        <v>44186</v>
      </c>
      <c r="B63">
        <f t="shared" si="0"/>
        <v>37</v>
      </c>
      <c r="C63" s="13">
        <f>IF(A63="","",VLOOKUP(A63,YF_Spot[#All],5,))</f>
        <v>11.33</v>
      </c>
      <c r="D63" s="12">
        <f t="shared" si="1"/>
        <v>-2.0961466165670295E-2</v>
      </c>
      <c r="E63" s="17">
        <f t="shared" si="5"/>
        <v>8.4893031582270817E-4</v>
      </c>
      <c r="F63" s="12">
        <f t="shared" si="2"/>
        <v>2.9136408766742481E-2</v>
      </c>
      <c r="G63" s="13">
        <f t="shared" si="3"/>
        <v>10.669768977345615</v>
      </c>
      <c r="H63" s="13">
        <f t="shared" si="4"/>
        <v>11.990231022654385</v>
      </c>
    </row>
    <row r="64" spans="1:8" x14ac:dyDescent="0.3">
      <c r="A64" s="1">
        <v>44187</v>
      </c>
      <c r="B64">
        <f t="shared" si="0"/>
        <v>36</v>
      </c>
      <c r="C64" s="13">
        <f>IF(A64="","",VLOOKUP(A64,YF_Spot[#All],5,))</f>
        <v>11.36</v>
      </c>
      <c r="D64" s="12">
        <f t="shared" si="1"/>
        <v>2.644338253090202E-3</v>
      </c>
      <c r="E64" s="17">
        <f t="shared" si="5"/>
        <v>8.2435748070221811E-4</v>
      </c>
      <c r="F64" s="12">
        <f t="shared" si="2"/>
        <v>2.8711626228798293E-2</v>
      </c>
      <c r="G64" s="13">
        <f t="shared" si="3"/>
        <v>10.707671852081702</v>
      </c>
      <c r="H64" s="13">
        <f t="shared" si="4"/>
        <v>12.012328147918296</v>
      </c>
    </row>
    <row r="65" spans="1:8" x14ac:dyDescent="0.3">
      <c r="A65" s="1">
        <v>44188</v>
      </c>
      <c r="B65">
        <f t="shared" si="0"/>
        <v>35</v>
      </c>
      <c r="C65" s="13">
        <f>IF(A65="","",VLOOKUP(A65,YF_Spot[#All],5,))</f>
        <v>11.49</v>
      </c>
      <c r="D65" s="12">
        <f t="shared" si="1"/>
        <v>1.1378678567659034E-2</v>
      </c>
      <c r="E65" s="17">
        <f t="shared" si="5"/>
        <v>7.7531558334789034E-4</v>
      </c>
      <c r="F65" s="12">
        <f t="shared" si="2"/>
        <v>2.7844489281505781E-2</v>
      </c>
      <c r="G65" s="13">
        <f t="shared" si="3"/>
        <v>10.850133636310996</v>
      </c>
      <c r="H65" s="13">
        <f t="shared" si="4"/>
        <v>12.129866363689002</v>
      </c>
    </row>
    <row r="66" spans="1:8" x14ac:dyDescent="0.3">
      <c r="A66" s="1">
        <v>44189</v>
      </c>
      <c r="B66">
        <f t="shared" si="0"/>
        <v>34</v>
      </c>
      <c r="C66" s="13">
        <f>IF(A66="","",VLOOKUP(A66,YF_Spot[#All],5,))</f>
        <v>11.54</v>
      </c>
      <c r="D66" s="12">
        <f t="shared" si="1"/>
        <v>4.3421692192890269E-3</v>
      </c>
      <c r="E66" s="17">
        <f t="shared" si="5"/>
        <v>7.3656510790378314E-4</v>
      </c>
      <c r="F66" s="12">
        <f t="shared" si="2"/>
        <v>2.7139733010915622E-2</v>
      </c>
      <c r="G66" s="13">
        <f t="shared" si="3"/>
        <v>10.913614962108067</v>
      </c>
      <c r="H66" s="13">
        <f t="shared" si="4"/>
        <v>12.166385037891933</v>
      </c>
    </row>
    <row r="67" spans="1:8" x14ac:dyDescent="0.3">
      <c r="A67" s="1">
        <v>44193</v>
      </c>
      <c r="B67">
        <f t="shared" ref="B67:B130" si="6">IF(A67="","",_xlfn.RANK.EQ(A67,A:A,0))</f>
        <v>33</v>
      </c>
      <c r="C67" s="13">
        <f>IF(A67="","",VLOOKUP(A67,YF_Spot[#All],5,))</f>
        <v>11.63</v>
      </c>
      <c r="D67" s="12">
        <f t="shared" si="1"/>
        <v>7.768705450619709E-3</v>
      </c>
      <c r="E67" s="17">
        <f t="shared" si="5"/>
        <v>6.9350246744129252E-4</v>
      </c>
      <c r="F67" s="12">
        <f t="shared" si="2"/>
        <v>2.6334435012760241E-2</v>
      </c>
      <c r="G67" s="13">
        <f t="shared" si="3"/>
        <v>11.017461041603198</v>
      </c>
      <c r="H67" s="13">
        <f t="shared" si="4"/>
        <v>12.242538958396803</v>
      </c>
    </row>
    <row r="68" spans="1:8" x14ac:dyDescent="0.3">
      <c r="A68" s="1">
        <v>44194</v>
      </c>
      <c r="B68">
        <f t="shared" si="6"/>
        <v>32</v>
      </c>
      <c r="C68" s="13">
        <f>IF(A68="","",VLOOKUP(A68,YF_Spot[#All],5,))</f>
        <v>11.58</v>
      </c>
      <c r="D68" s="12">
        <f t="shared" ref="D68:D99" si="7">IF(A68="","",LN(C68/C67))</f>
        <v>-4.3084943857239549E-3</v>
      </c>
      <c r="E68" s="17">
        <f t="shared" si="5"/>
        <v>6.5551348645752426E-4</v>
      </c>
      <c r="F68" s="12">
        <f t="shared" ref="F68:F131" si="8">IF(A68="","",SQRT(E68))</f>
        <v>2.5602997606872603E-2</v>
      </c>
      <c r="G68" s="13">
        <f t="shared" ref="G68:G131" si="9">IF(A68="","",C68*(1-2*F68))</f>
        <v>10.987034575424831</v>
      </c>
      <c r="H68" s="13">
        <f t="shared" ref="H68:H131" si="10">IF(A68="","",C68*(1+2*F68))</f>
        <v>12.172965424575169</v>
      </c>
    </row>
    <row r="69" spans="1:8" x14ac:dyDescent="0.3">
      <c r="A69" s="1">
        <v>44195</v>
      </c>
      <c r="B69">
        <f t="shared" si="6"/>
        <v>31</v>
      </c>
      <c r="C69" s="13">
        <f>IF(A69="","",VLOOKUP(A69,YF_Spot[#All],5,))</f>
        <v>11.24</v>
      </c>
      <c r="D69" s="12">
        <f t="shared" si="7"/>
        <v>-2.9800627679304199E-2</v>
      </c>
      <c r="E69" s="17">
        <f t="shared" ref="E69:E132" si="11">IF(A69="","",$P$1*E68+(1-$P$1)*D68^2)</f>
        <v>6.1729646470238164E-4</v>
      </c>
      <c r="F69" s="12">
        <f t="shared" si="8"/>
        <v>2.4845451589825887E-2</v>
      </c>
      <c r="G69" s="13">
        <f t="shared" si="9"/>
        <v>10.681474248260715</v>
      </c>
      <c r="H69" s="13">
        <f t="shared" si="10"/>
        <v>11.798525751739286</v>
      </c>
    </row>
    <row r="70" spans="1:8" x14ac:dyDescent="0.3">
      <c r="A70" s="1">
        <v>44196</v>
      </c>
      <c r="B70">
        <f t="shared" si="6"/>
        <v>30</v>
      </c>
      <c r="C70" s="13">
        <f>IF(A70="","",VLOOKUP(A70,YF_Spot[#All],5,))</f>
        <v>11.17</v>
      </c>
      <c r="D70" s="12">
        <f t="shared" si="7"/>
        <v>-6.2472313844357391E-3</v>
      </c>
      <c r="E70" s="17">
        <f t="shared" si="11"/>
        <v>6.3354332142506948E-4</v>
      </c>
      <c r="F70" s="12">
        <f t="shared" si="8"/>
        <v>2.5170286478804118E-2</v>
      </c>
      <c r="G70" s="13">
        <f t="shared" si="9"/>
        <v>10.607695800063517</v>
      </c>
      <c r="H70" s="13">
        <f t="shared" si="10"/>
        <v>11.732304199936484</v>
      </c>
    </row>
    <row r="71" spans="1:8" x14ac:dyDescent="0.3">
      <c r="A71" s="1">
        <v>44200</v>
      </c>
      <c r="B71">
        <f t="shared" si="6"/>
        <v>29</v>
      </c>
      <c r="C71" s="13">
        <f>IF(A71="","",VLOOKUP(A71,YF_Spot[#All],5,))</f>
        <v>10.81</v>
      </c>
      <c r="D71" s="12">
        <f t="shared" si="7"/>
        <v>-3.2759981429992341E-2</v>
      </c>
      <c r="E71" s="17">
        <f t="shared" si="11"/>
        <v>5.978723961378061E-4</v>
      </c>
      <c r="F71" s="12">
        <f t="shared" si="8"/>
        <v>2.4451429327092641E-2</v>
      </c>
      <c r="G71" s="13">
        <f t="shared" si="9"/>
        <v>10.281360097948257</v>
      </c>
      <c r="H71" s="13">
        <f t="shared" si="10"/>
        <v>11.338639902051744</v>
      </c>
    </row>
    <row r="72" spans="1:8" x14ac:dyDescent="0.3">
      <c r="A72" s="1">
        <v>44201</v>
      </c>
      <c r="B72">
        <f t="shared" si="6"/>
        <v>28</v>
      </c>
      <c r="C72" s="13">
        <f>IF(A72="","",VLOOKUP(A72,YF_Spot[#All],5,))</f>
        <v>10.91</v>
      </c>
      <c r="D72" s="12">
        <f t="shared" si="7"/>
        <v>9.2081681938625259E-3</v>
      </c>
      <c r="E72" s="17">
        <f t="shared" si="11"/>
        <v>6.2639303536714437E-4</v>
      </c>
      <c r="F72" s="12">
        <f t="shared" si="8"/>
        <v>2.502784520023936E-2</v>
      </c>
      <c r="G72" s="13">
        <f t="shared" si="9"/>
        <v>10.363892417730778</v>
      </c>
      <c r="H72" s="13">
        <f t="shared" si="10"/>
        <v>11.456107582269222</v>
      </c>
    </row>
    <row r="73" spans="1:8" x14ac:dyDescent="0.3">
      <c r="A73" s="1">
        <v>44202</v>
      </c>
      <c r="B73">
        <f t="shared" si="6"/>
        <v>27</v>
      </c>
      <c r="C73" s="13">
        <f>IF(A73="","",VLOOKUP(A73,YF_Spot[#All],5,))</f>
        <v>11.56</v>
      </c>
      <c r="D73" s="12">
        <f t="shared" si="7"/>
        <v>5.7871063399252048E-2</v>
      </c>
      <c r="E73" s="17">
        <f t="shared" si="11"/>
        <v>5.9389687493430329E-4</v>
      </c>
      <c r="F73" s="12">
        <f t="shared" si="8"/>
        <v>2.4369999485726365E-2</v>
      </c>
      <c r="G73" s="13">
        <f t="shared" si="9"/>
        <v>10.996565611890007</v>
      </c>
      <c r="H73" s="13">
        <f t="shared" si="10"/>
        <v>12.123434388109994</v>
      </c>
    </row>
    <row r="74" spans="1:8" x14ac:dyDescent="0.3">
      <c r="A74" s="1">
        <v>44203</v>
      </c>
      <c r="B74">
        <f t="shared" si="6"/>
        <v>26</v>
      </c>
      <c r="C74" s="13">
        <f>IF(A74="","",VLOOKUP(A74,YF_Spot[#All],5,))</f>
        <v>11.28</v>
      </c>
      <c r="D74" s="12">
        <f t="shared" si="7"/>
        <v>-2.4519617174318727E-2</v>
      </c>
      <c r="E74" s="17">
        <f t="shared" si="11"/>
        <v>7.5920666117586027E-4</v>
      </c>
      <c r="F74" s="12">
        <f t="shared" si="8"/>
        <v>2.7553705035364306E-2</v>
      </c>
      <c r="G74" s="13">
        <f t="shared" si="9"/>
        <v>10.658388414402181</v>
      </c>
      <c r="H74" s="13">
        <f t="shared" si="10"/>
        <v>11.901611585597816</v>
      </c>
    </row>
    <row r="75" spans="1:8" x14ac:dyDescent="0.3">
      <c r="A75" s="1">
        <v>44204</v>
      </c>
      <c r="B75">
        <f t="shared" si="6"/>
        <v>25</v>
      </c>
      <c r="C75" s="13">
        <f>IF(A75="","",VLOOKUP(A75,YF_Spot[#All],5,))</f>
        <v>11.31</v>
      </c>
      <c r="D75" s="12">
        <f t="shared" si="7"/>
        <v>2.656044058116432E-3</v>
      </c>
      <c r="E75" s="17">
        <f t="shared" si="11"/>
        <v>7.4972695908781734E-4</v>
      </c>
      <c r="F75" s="12">
        <f t="shared" si="8"/>
        <v>2.7381142399246553E-2</v>
      </c>
      <c r="G75" s="13">
        <f t="shared" si="9"/>
        <v>10.690638558929043</v>
      </c>
      <c r="H75" s="13">
        <f t="shared" si="10"/>
        <v>11.929361441070959</v>
      </c>
    </row>
    <row r="76" spans="1:8" x14ac:dyDescent="0.3">
      <c r="A76" s="1">
        <v>44207</v>
      </c>
      <c r="B76">
        <f t="shared" si="6"/>
        <v>24</v>
      </c>
      <c r="C76" s="13">
        <f>IF(A76="","",VLOOKUP(A76,YF_Spot[#All],5,))</f>
        <v>11.25</v>
      </c>
      <c r="D76" s="12">
        <f t="shared" si="7"/>
        <v>-5.3191614776000448E-3</v>
      </c>
      <c r="E76" s="17">
        <f t="shared" si="11"/>
        <v>7.0516661574486755E-4</v>
      </c>
      <c r="F76" s="12">
        <f t="shared" si="8"/>
        <v>2.6554973465339173E-2</v>
      </c>
      <c r="G76" s="13">
        <f t="shared" si="9"/>
        <v>10.652513097029868</v>
      </c>
      <c r="H76" s="13">
        <f t="shared" si="10"/>
        <v>11.847486902970132</v>
      </c>
    </row>
    <row r="77" spans="1:8" x14ac:dyDescent="0.3">
      <c r="A77" s="1">
        <v>44208</v>
      </c>
      <c r="B77">
        <f t="shared" si="6"/>
        <v>23</v>
      </c>
      <c r="C77" s="13">
        <f>IF(A77="","",VLOOKUP(A77,YF_Spot[#All],5,))</f>
        <v>11.36</v>
      </c>
      <c r="D77" s="12">
        <f t="shared" si="7"/>
        <v>9.730284642576038E-3</v>
      </c>
      <c r="E77" s="17">
        <f t="shared" si="11"/>
        <v>6.6455422752966257E-4</v>
      </c>
      <c r="F77" s="12">
        <f t="shared" si="8"/>
        <v>2.5778949310040985E-2</v>
      </c>
      <c r="G77" s="13">
        <f t="shared" si="9"/>
        <v>10.774302271675868</v>
      </c>
      <c r="H77" s="13">
        <f t="shared" si="10"/>
        <v>11.945697728324131</v>
      </c>
    </row>
    <row r="78" spans="1:8" x14ac:dyDescent="0.3">
      <c r="A78" s="1">
        <v>44209</v>
      </c>
      <c r="B78">
        <f t="shared" si="6"/>
        <v>22</v>
      </c>
      <c r="C78" s="13">
        <f>IF(A78="","",VLOOKUP(A78,YF_Spot[#All],5,))</f>
        <v>11.42</v>
      </c>
      <c r="D78" s="12">
        <f t="shared" si="7"/>
        <v>5.2677909348588046E-3</v>
      </c>
      <c r="E78" s="17">
        <f t="shared" si="11"/>
        <v>6.3036168023141586E-4</v>
      </c>
      <c r="F78" s="12">
        <f t="shared" si="8"/>
        <v>2.5107004604918839E-2</v>
      </c>
      <c r="G78" s="13">
        <f t="shared" si="9"/>
        <v>10.846556014823655</v>
      </c>
      <c r="H78" s="13">
        <f t="shared" si="10"/>
        <v>11.993443985176347</v>
      </c>
    </row>
    <row r="79" spans="1:8" x14ac:dyDescent="0.3">
      <c r="A79" s="1">
        <v>44210</v>
      </c>
      <c r="B79">
        <f t="shared" si="6"/>
        <v>21</v>
      </c>
      <c r="C79" s="13">
        <f>IF(A79="","",VLOOKUP(A79,YF_Spot[#All],5,))</f>
        <v>11.71</v>
      </c>
      <c r="D79" s="12">
        <f t="shared" si="7"/>
        <v>2.5076973381761791E-2</v>
      </c>
      <c r="E79" s="17">
        <f t="shared" si="11"/>
        <v>5.9420495669753378E-4</v>
      </c>
      <c r="F79" s="12">
        <f t="shared" si="8"/>
        <v>2.4376319588845518E-2</v>
      </c>
      <c r="G79" s="13">
        <f t="shared" si="9"/>
        <v>11.139106595229238</v>
      </c>
      <c r="H79" s="13">
        <f t="shared" si="10"/>
        <v>12.280893404770763</v>
      </c>
    </row>
    <row r="80" spans="1:8" x14ac:dyDescent="0.3">
      <c r="A80" s="1">
        <v>44211</v>
      </c>
      <c r="B80">
        <f t="shared" si="6"/>
        <v>20</v>
      </c>
      <c r="C80" s="13">
        <f>IF(A80="","",VLOOKUP(A80,YF_Spot[#All],5,))</f>
        <v>11.5</v>
      </c>
      <c r="D80" s="12">
        <f t="shared" si="7"/>
        <v>-1.8096142240421657E-2</v>
      </c>
      <c r="E80" s="17">
        <f t="shared" si="11"/>
        <v>5.9628393493505719E-4</v>
      </c>
      <c r="F80" s="12">
        <f t="shared" si="8"/>
        <v>2.4418925753092766E-2</v>
      </c>
      <c r="G80" s="13">
        <f t="shared" si="9"/>
        <v>10.938364707678867</v>
      </c>
      <c r="H80" s="13">
        <f t="shared" si="10"/>
        <v>12.061635292321133</v>
      </c>
    </row>
    <row r="81" spans="1:8" x14ac:dyDescent="0.3">
      <c r="A81" s="1">
        <v>44215</v>
      </c>
      <c r="B81">
        <f t="shared" si="6"/>
        <v>19</v>
      </c>
      <c r="C81" s="13">
        <f>IF(A81="","",VLOOKUP(A81,YF_Spot[#All],5,))</f>
        <v>11.6</v>
      </c>
      <c r="D81" s="12">
        <f t="shared" si="7"/>
        <v>8.6580627431145311E-3</v>
      </c>
      <c r="E81" s="17">
        <f t="shared" si="11"/>
        <v>5.8015512067808813E-4</v>
      </c>
      <c r="F81" s="12">
        <f t="shared" si="8"/>
        <v>2.4086409460068726E-2</v>
      </c>
      <c r="G81" s="13">
        <f t="shared" si="9"/>
        <v>11.041195300526406</v>
      </c>
      <c r="H81" s="13">
        <f t="shared" si="10"/>
        <v>12.158804699473594</v>
      </c>
    </row>
    <row r="82" spans="1:8" x14ac:dyDescent="0.3">
      <c r="A82" s="1">
        <v>44216</v>
      </c>
      <c r="B82">
        <f t="shared" si="6"/>
        <v>18</v>
      </c>
      <c r="C82" s="13">
        <f>IF(A82="","",VLOOKUP(A82,YF_Spot[#All],5,))</f>
        <v>11.78</v>
      </c>
      <c r="D82" s="12">
        <f t="shared" si="7"/>
        <v>1.5398080111121662E-2</v>
      </c>
      <c r="E82" s="17">
        <f t="shared" si="11"/>
        <v>5.4984353646522538E-4</v>
      </c>
      <c r="F82" s="12">
        <f t="shared" si="8"/>
        <v>2.344874274807128E-2</v>
      </c>
      <c r="G82" s="13">
        <f t="shared" si="9"/>
        <v>11.227547620855439</v>
      </c>
      <c r="H82" s="13">
        <f t="shared" si="10"/>
        <v>12.332452379144559</v>
      </c>
    </row>
    <row r="83" spans="1:8" x14ac:dyDescent="0.3">
      <c r="A83" s="1">
        <v>44217</v>
      </c>
      <c r="B83">
        <f t="shared" si="6"/>
        <v>17</v>
      </c>
      <c r="C83" s="13">
        <f>IF(A83="","",VLOOKUP(A83,YF_Spot[#All],5,))</f>
        <v>11.68</v>
      </c>
      <c r="D83" s="12">
        <f t="shared" si="7"/>
        <v>-8.5252008233596167E-3</v>
      </c>
      <c r="E83" s="17">
        <f t="shared" si="11"/>
        <v>5.3107897654382306E-4</v>
      </c>
      <c r="F83" s="12">
        <f t="shared" si="8"/>
        <v>2.304515082493111E-2</v>
      </c>
      <c r="G83" s="13">
        <f t="shared" si="9"/>
        <v>11.14166527672961</v>
      </c>
      <c r="H83" s="13">
        <f t="shared" si="10"/>
        <v>12.21833472327039</v>
      </c>
    </row>
    <row r="84" spans="1:8" x14ac:dyDescent="0.3">
      <c r="A84" s="1">
        <v>44218</v>
      </c>
      <c r="B84">
        <f t="shared" si="6"/>
        <v>16</v>
      </c>
      <c r="C84" s="13">
        <f>IF(A84="","",VLOOKUP(A84,YF_Spot[#All],5,))</f>
        <v>11.84</v>
      </c>
      <c r="D84" s="12">
        <f t="shared" si="7"/>
        <v>1.3605652055778678E-2</v>
      </c>
      <c r="E84" s="17">
        <f t="shared" si="11"/>
        <v>5.0357498089591041E-4</v>
      </c>
      <c r="F84" s="12">
        <f t="shared" si="8"/>
        <v>2.2440476396367131E-2</v>
      </c>
      <c r="G84" s="13">
        <f t="shared" si="9"/>
        <v>11.308609518934025</v>
      </c>
      <c r="H84" s="13">
        <f t="shared" si="10"/>
        <v>12.371390481065974</v>
      </c>
    </row>
    <row r="85" spans="1:8" x14ac:dyDescent="0.3">
      <c r="A85" s="1">
        <v>44221</v>
      </c>
      <c r="B85">
        <f t="shared" si="6"/>
        <v>15</v>
      </c>
      <c r="C85" s="13">
        <f>IF(A85="","",VLOOKUP(A85,YF_Spot[#All],5,))</f>
        <v>11.9</v>
      </c>
      <c r="D85" s="12">
        <f t="shared" si="7"/>
        <v>5.0547706616240543E-3</v>
      </c>
      <c r="E85" s="17">
        <f t="shared" si="11"/>
        <v>4.8446730811393062E-4</v>
      </c>
      <c r="F85" s="12">
        <f t="shared" si="8"/>
        <v>2.2010618076599545E-2</v>
      </c>
      <c r="G85" s="13">
        <f t="shared" si="9"/>
        <v>11.376147289776931</v>
      </c>
      <c r="H85" s="13">
        <f t="shared" si="10"/>
        <v>12.42385271022307</v>
      </c>
    </row>
    <row r="86" spans="1:8" x14ac:dyDescent="0.3">
      <c r="A86" s="1">
        <v>44222</v>
      </c>
      <c r="B86">
        <f t="shared" si="6"/>
        <v>14</v>
      </c>
      <c r="C86" s="13">
        <f>IF(A86="","",VLOOKUP(A86,YF_Spot[#All],5,))</f>
        <v>11.73</v>
      </c>
      <c r="D86" s="12">
        <f t="shared" si="7"/>
        <v>-1.4388737452099556E-2</v>
      </c>
      <c r="E86" s="17">
        <f t="shared" si="11"/>
        <v>4.5693231201359168E-4</v>
      </c>
      <c r="F86" s="12">
        <f t="shared" si="8"/>
        <v>2.1375975112578879E-2</v>
      </c>
      <c r="G86" s="13">
        <f t="shared" si="9"/>
        <v>11.228519623858899</v>
      </c>
      <c r="H86" s="13">
        <f t="shared" si="10"/>
        <v>12.2314803761411</v>
      </c>
    </row>
    <row r="87" spans="1:8" x14ac:dyDescent="0.3">
      <c r="A87" s="1">
        <v>44223</v>
      </c>
      <c r="B87">
        <f t="shared" si="6"/>
        <v>13</v>
      </c>
      <c r="C87" s="13">
        <f>IF(A87="","",VLOOKUP(A87,YF_Spot[#All],5,))</f>
        <v>11.55</v>
      </c>
      <c r="D87" s="12">
        <f t="shared" si="7"/>
        <v>-1.5464225697581477E-2</v>
      </c>
      <c r="E87" s="17">
        <f t="shared" si="11"/>
        <v>4.4193851922070333E-4</v>
      </c>
      <c r="F87" s="12">
        <f t="shared" si="8"/>
        <v>2.1022333819552562E-2</v>
      </c>
      <c r="G87" s="13">
        <f t="shared" si="9"/>
        <v>11.064384088768337</v>
      </c>
      <c r="H87" s="13">
        <f t="shared" si="10"/>
        <v>12.035615911231664</v>
      </c>
    </row>
    <row r="88" spans="1:8" x14ac:dyDescent="0.3">
      <c r="A88" s="1">
        <v>44224</v>
      </c>
      <c r="B88">
        <f t="shared" si="6"/>
        <v>12</v>
      </c>
      <c r="C88" s="13">
        <f>IF(A88="","",VLOOKUP(A88,YF_Spot[#All],5,))</f>
        <v>11.77</v>
      </c>
      <c r="D88" s="12">
        <f t="shared" si="7"/>
        <v>1.8868484304382736E-2</v>
      </c>
      <c r="E88" s="17">
        <f t="shared" si="11"/>
        <v>4.2977074465300549E-4</v>
      </c>
      <c r="F88" s="12">
        <f t="shared" si="8"/>
        <v>2.0730912779060296E-2</v>
      </c>
      <c r="G88" s="13">
        <f t="shared" si="9"/>
        <v>11.28199431318092</v>
      </c>
      <c r="H88" s="13">
        <f t="shared" si="10"/>
        <v>12.258005686819077</v>
      </c>
    </row>
    <row r="89" spans="1:8" x14ac:dyDescent="0.3">
      <c r="A89" s="1">
        <v>44225</v>
      </c>
      <c r="B89">
        <f t="shared" si="6"/>
        <v>11</v>
      </c>
      <c r="C89" s="13">
        <f>IF(A89="","",VLOOKUP(A89,YF_Spot[#All],5,))</f>
        <v>11.18</v>
      </c>
      <c r="D89" s="12">
        <f t="shared" si="7"/>
        <v>-5.1427453545232267E-2</v>
      </c>
      <c r="E89" s="17">
        <f t="shared" si="11"/>
        <v>4.253456819705094E-4</v>
      </c>
      <c r="F89" s="12">
        <f t="shared" si="8"/>
        <v>2.0623910443233345E-2</v>
      </c>
      <c r="G89" s="13">
        <f t="shared" si="9"/>
        <v>10.718849362489301</v>
      </c>
      <c r="H89" s="13">
        <f t="shared" si="10"/>
        <v>11.641150637510696</v>
      </c>
    </row>
    <row r="90" spans="1:8" x14ac:dyDescent="0.3">
      <c r="A90" s="1">
        <v>44228</v>
      </c>
      <c r="B90">
        <f t="shared" si="6"/>
        <v>10</v>
      </c>
      <c r="C90" s="13">
        <f>IF(A90="","",VLOOKUP(A90,YF_Spot[#All],5,))</f>
        <v>11.49</v>
      </c>
      <c r="D90" s="12">
        <f t="shared" si="7"/>
        <v>2.7350624133711227E-2</v>
      </c>
      <c r="E90" s="17">
        <f t="shared" si="11"/>
        <v>5.5851191974110037E-4</v>
      </c>
      <c r="F90" s="12">
        <f t="shared" si="8"/>
        <v>2.3632856783323941E-2</v>
      </c>
      <c r="G90" s="13">
        <f t="shared" si="9"/>
        <v>10.946916951119215</v>
      </c>
      <c r="H90" s="13">
        <f t="shared" si="10"/>
        <v>12.033083048880785</v>
      </c>
    </row>
    <row r="91" spans="1:8" x14ac:dyDescent="0.3">
      <c r="A91" s="1">
        <v>44229</v>
      </c>
      <c r="B91">
        <f t="shared" si="6"/>
        <v>9</v>
      </c>
      <c r="C91" s="13">
        <f>IF(A91="","",VLOOKUP(A91,YF_Spot[#All],5,))</f>
        <v>11.69</v>
      </c>
      <c r="D91" s="12">
        <f t="shared" si="7"/>
        <v>1.7256683623312744E-2</v>
      </c>
      <c r="E91" s="17">
        <f t="shared" si="11"/>
        <v>5.6988460298684719E-4</v>
      </c>
      <c r="F91" s="12">
        <f t="shared" si="8"/>
        <v>2.3872255925799037E-2</v>
      </c>
      <c r="G91" s="13">
        <f t="shared" si="9"/>
        <v>11.131866656454818</v>
      </c>
      <c r="H91" s="13">
        <f t="shared" si="10"/>
        <v>12.248133343545181</v>
      </c>
    </row>
    <row r="92" spans="1:8" x14ac:dyDescent="0.3">
      <c r="A92" s="1">
        <v>44230</v>
      </c>
      <c r="B92">
        <f t="shared" si="6"/>
        <v>8</v>
      </c>
      <c r="C92" s="13">
        <f>IF(A92="","",VLOOKUP(A92,YF_Spot[#All],5,))</f>
        <v>11.5</v>
      </c>
      <c r="D92" s="12">
        <f t="shared" si="7"/>
        <v>-1.6386740114772633E-2</v>
      </c>
      <c r="E92" s="17">
        <f t="shared" si="11"/>
        <v>5.5355911458814292E-4</v>
      </c>
      <c r="F92" s="12">
        <f t="shared" si="8"/>
        <v>2.3527837014654426E-2</v>
      </c>
      <c r="G92" s="13">
        <f t="shared" si="9"/>
        <v>10.958859748662947</v>
      </c>
      <c r="H92" s="13">
        <f t="shared" si="10"/>
        <v>12.041140251337053</v>
      </c>
    </row>
    <row r="93" spans="1:8" x14ac:dyDescent="0.3">
      <c r="A93" s="1">
        <v>44231</v>
      </c>
      <c r="B93">
        <f t="shared" si="6"/>
        <v>7</v>
      </c>
      <c r="C93" s="13">
        <f>IF(A93="","",VLOOKUP(A93,YF_Spot[#All],5,))</f>
        <v>11.84</v>
      </c>
      <c r="D93" s="12">
        <f t="shared" si="7"/>
        <v>2.9136594086655247E-2</v>
      </c>
      <c r="E93" s="17">
        <f t="shared" si="11"/>
        <v>5.3645708280820024E-4</v>
      </c>
      <c r="F93" s="12">
        <f t="shared" si="8"/>
        <v>2.3161543187106514E-2</v>
      </c>
      <c r="G93" s="13">
        <f t="shared" si="9"/>
        <v>11.291534657329318</v>
      </c>
      <c r="H93" s="13">
        <f t="shared" si="10"/>
        <v>12.388465342670681</v>
      </c>
    </row>
    <row r="94" spans="1:8" x14ac:dyDescent="0.3">
      <c r="A94" s="1">
        <v>44232</v>
      </c>
      <c r="B94">
        <f t="shared" si="6"/>
        <v>6</v>
      </c>
      <c r="C94" s="13">
        <f>IF(A94="","",VLOOKUP(A94,YF_Spot[#All],5,))</f>
        <v>11.9</v>
      </c>
      <c r="D94" s="12">
        <f t="shared" si="7"/>
        <v>5.0547706616240543E-3</v>
      </c>
      <c r="E94" s="17">
        <f t="shared" si="11"/>
        <v>5.5520612473793898E-4</v>
      </c>
      <c r="F94" s="12">
        <f t="shared" si="8"/>
        <v>2.3562812326586548E-2</v>
      </c>
      <c r="G94" s="13">
        <f t="shared" si="9"/>
        <v>11.33920506662724</v>
      </c>
      <c r="H94" s="13">
        <f t="shared" si="10"/>
        <v>12.46079493337276</v>
      </c>
    </row>
    <row r="95" spans="1:8" x14ac:dyDescent="0.3">
      <c r="A95" s="1">
        <v>44235</v>
      </c>
      <c r="B95">
        <f t="shared" si="6"/>
        <v>5</v>
      </c>
      <c r="C95" s="13">
        <f>IF(A95="","",VLOOKUP(A95,YF_Spot[#All],5,))</f>
        <v>12.17</v>
      </c>
      <c r="D95" s="12">
        <f t="shared" si="7"/>
        <v>2.2435506881952026E-2</v>
      </c>
      <c r="E95" s="17">
        <f t="shared" si="11"/>
        <v>5.2342679964015955E-4</v>
      </c>
      <c r="F95" s="12">
        <f t="shared" si="8"/>
        <v>2.2878522671714613E-2</v>
      </c>
      <c r="G95" s="13">
        <f t="shared" si="9"/>
        <v>11.613136758170466</v>
      </c>
      <c r="H95" s="13">
        <f t="shared" si="10"/>
        <v>12.726863241829534</v>
      </c>
    </row>
    <row r="96" spans="1:8" x14ac:dyDescent="0.3">
      <c r="A96" s="1">
        <v>44236</v>
      </c>
      <c r="B96">
        <f t="shared" si="6"/>
        <v>4</v>
      </c>
      <c r="C96" s="13">
        <f>IF(A96="","",VLOOKUP(A96,YF_Spot[#All],5,))</f>
        <v>12.17</v>
      </c>
      <c r="D96" s="12">
        <f t="shared" si="7"/>
        <v>0</v>
      </c>
      <c r="E96" s="17">
        <f t="shared" si="11"/>
        <v>5.2222230980475696E-4</v>
      </c>
      <c r="F96" s="12">
        <f t="shared" si="8"/>
        <v>2.2852183917620585E-2</v>
      </c>
      <c r="G96" s="13">
        <f t="shared" si="9"/>
        <v>11.613777843445115</v>
      </c>
      <c r="H96" s="13">
        <f t="shared" si="10"/>
        <v>12.726222156554885</v>
      </c>
    </row>
    <row r="97" spans="1:8" x14ac:dyDescent="0.3">
      <c r="A97" s="1">
        <v>44237</v>
      </c>
      <c r="B97">
        <f t="shared" si="6"/>
        <v>3</v>
      </c>
      <c r="C97" s="13">
        <f>IF(A97="","",VLOOKUP(A97,YF_Spot[#All],5,))</f>
        <v>12.39</v>
      </c>
      <c r="D97" s="12">
        <f t="shared" si="7"/>
        <v>1.7915788641615239E-2</v>
      </c>
      <c r="E97" s="17">
        <f t="shared" si="11"/>
        <v>4.9088897121647148E-4</v>
      </c>
      <c r="F97" s="12">
        <f t="shared" si="8"/>
        <v>2.2156014335084538E-2</v>
      </c>
      <c r="G97" s="13">
        <f t="shared" si="9"/>
        <v>11.840973964776607</v>
      </c>
      <c r="H97" s="13">
        <f t="shared" si="10"/>
        <v>12.939026035223394</v>
      </c>
    </row>
    <row r="98" spans="1:8" x14ac:dyDescent="0.3">
      <c r="A98" s="1">
        <v>44238</v>
      </c>
      <c r="B98">
        <f t="shared" si="6"/>
        <v>2</v>
      </c>
      <c r="C98" s="13">
        <f>IF(A98="","",VLOOKUP(A98,YF_Spot[#All],5,))</f>
        <v>12.74</v>
      </c>
      <c r="D98" s="12">
        <f t="shared" si="7"/>
        <v>2.7856954502966279E-2</v>
      </c>
      <c r="E98" s="17">
        <f t="shared" si="11"/>
        <v>4.8069416190254496E-4</v>
      </c>
      <c r="F98" s="12">
        <f t="shared" si="8"/>
        <v>2.1924738582308E-2</v>
      </c>
      <c r="G98" s="13">
        <f t="shared" si="9"/>
        <v>12.181357660922792</v>
      </c>
      <c r="H98" s="13">
        <f t="shared" si="10"/>
        <v>13.298642339077208</v>
      </c>
    </row>
    <row r="99" spans="1:8" x14ac:dyDescent="0.3">
      <c r="A99" s="1">
        <v>44239</v>
      </c>
      <c r="B99">
        <f t="shared" si="6"/>
        <v>1</v>
      </c>
      <c r="C99" s="13">
        <f>IF(A99="","",VLOOKUP(A99,YF_Spot[#All],5,))</f>
        <v>12.87</v>
      </c>
      <c r="D99" s="12">
        <f t="shared" si="7"/>
        <v>1.0152371464017908E-2</v>
      </c>
      <c r="E99" s="17">
        <f t="shared" si="11"/>
        <v>4.984131070392122E-4</v>
      </c>
      <c r="F99" s="12">
        <f t="shared" si="8"/>
        <v>2.2325167570238127E-2</v>
      </c>
      <c r="G99" s="13">
        <f t="shared" si="9"/>
        <v>12.29535018674207</v>
      </c>
      <c r="H99" s="13">
        <f t="shared" si="10"/>
        <v>13.44464981325793</v>
      </c>
    </row>
    <row r="100" spans="1:8" x14ac:dyDescent="0.3">
      <c r="B100" t="str">
        <f t="shared" si="6"/>
        <v/>
      </c>
      <c r="C100" s="13" t="str">
        <f>IF(A100="","",VLOOKUP(A100,YF_Spot[#All],5,))</f>
        <v/>
      </c>
      <c r="D100" s="12" t="str">
        <f t="shared" ref="D100:D163" si="12">IF(A100="","",LN(C100/C99))</f>
        <v/>
      </c>
      <c r="E100" s="17" t="str">
        <f t="shared" si="11"/>
        <v/>
      </c>
      <c r="F100" s="12" t="str">
        <f t="shared" si="8"/>
        <v/>
      </c>
      <c r="G100" s="13" t="str">
        <f t="shared" si="9"/>
        <v/>
      </c>
      <c r="H100" s="13" t="str">
        <f t="shared" si="10"/>
        <v/>
      </c>
    </row>
    <row r="101" spans="1:8" x14ac:dyDescent="0.3">
      <c r="B101" t="str">
        <f t="shared" si="6"/>
        <v/>
      </c>
      <c r="C101" s="13" t="str">
        <f>IF(A101="","",VLOOKUP(A101,YF_Spot[#All],5,))</f>
        <v/>
      </c>
      <c r="D101" s="12" t="str">
        <f t="shared" si="12"/>
        <v/>
      </c>
      <c r="E101" s="17" t="str">
        <f t="shared" si="11"/>
        <v/>
      </c>
      <c r="F101" s="12" t="str">
        <f t="shared" si="8"/>
        <v/>
      </c>
      <c r="G101" s="13" t="str">
        <f t="shared" si="9"/>
        <v/>
      </c>
      <c r="H101" s="13" t="str">
        <f t="shared" si="10"/>
        <v/>
      </c>
    </row>
    <row r="102" spans="1:8" x14ac:dyDescent="0.3">
      <c r="B102" t="str">
        <f t="shared" si="6"/>
        <v/>
      </c>
      <c r="C102" s="13" t="str">
        <f>IF(A102="","",VLOOKUP(A102,YF_Spot[#All],5,))</f>
        <v/>
      </c>
      <c r="D102" s="12" t="str">
        <f t="shared" si="12"/>
        <v/>
      </c>
      <c r="E102" s="17" t="str">
        <f t="shared" si="11"/>
        <v/>
      </c>
      <c r="F102" s="12" t="str">
        <f t="shared" si="8"/>
        <v/>
      </c>
      <c r="G102" s="13" t="str">
        <f t="shared" si="9"/>
        <v/>
      </c>
      <c r="H102" s="13" t="str">
        <f t="shared" si="10"/>
        <v/>
      </c>
    </row>
    <row r="103" spans="1:8" x14ac:dyDescent="0.3">
      <c r="B103" t="str">
        <f t="shared" si="6"/>
        <v/>
      </c>
      <c r="C103" s="13" t="str">
        <f>IF(A103="","",VLOOKUP(A103,YF_Spot[#All],5,))</f>
        <v/>
      </c>
      <c r="D103" s="12" t="str">
        <f t="shared" si="12"/>
        <v/>
      </c>
      <c r="E103" s="17" t="str">
        <f t="shared" si="11"/>
        <v/>
      </c>
      <c r="F103" s="12" t="str">
        <f t="shared" si="8"/>
        <v/>
      </c>
      <c r="G103" s="13" t="str">
        <f t="shared" si="9"/>
        <v/>
      </c>
      <c r="H103" s="13" t="str">
        <f t="shared" si="10"/>
        <v/>
      </c>
    </row>
    <row r="104" spans="1:8" x14ac:dyDescent="0.3">
      <c r="B104" t="str">
        <f t="shared" si="6"/>
        <v/>
      </c>
      <c r="C104" s="13" t="str">
        <f>IF(A104="","",VLOOKUP(A104,YF_Spot[#All],5,))</f>
        <v/>
      </c>
      <c r="D104" s="12" t="str">
        <f t="shared" si="12"/>
        <v/>
      </c>
      <c r="E104" s="17" t="str">
        <f t="shared" si="11"/>
        <v/>
      </c>
      <c r="F104" s="12" t="str">
        <f t="shared" si="8"/>
        <v/>
      </c>
      <c r="G104" s="13" t="str">
        <f t="shared" si="9"/>
        <v/>
      </c>
      <c r="H104" s="13" t="str">
        <f t="shared" si="10"/>
        <v/>
      </c>
    </row>
    <row r="105" spans="1:8" x14ac:dyDescent="0.3">
      <c r="B105" t="str">
        <f t="shared" si="6"/>
        <v/>
      </c>
      <c r="C105" s="13" t="str">
        <f>IF(A105="","",VLOOKUP(A105,YF_Spot[#All],5,))</f>
        <v/>
      </c>
      <c r="D105" s="12" t="str">
        <f t="shared" si="12"/>
        <v/>
      </c>
      <c r="E105" s="17" t="str">
        <f t="shared" si="11"/>
        <v/>
      </c>
      <c r="F105" s="12" t="str">
        <f t="shared" si="8"/>
        <v/>
      </c>
      <c r="G105" s="13" t="str">
        <f t="shared" si="9"/>
        <v/>
      </c>
      <c r="H105" s="13" t="str">
        <f t="shared" si="10"/>
        <v/>
      </c>
    </row>
    <row r="106" spans="1:8" x14ac:dyDescent="0.3">
      <c r="B106" t="str">
        <f t="shared" si="6"/>
        <v/>
      </c>
      <c r="C106" s="13" t="str">
        <f>IF(A106="","",VLOOKUP(A106,YF_Spot[#All],5,))</f>
        <v/>
      </c>
      <c r="D106" s="12" t="str">
        <f t="shared" si="12"/>
        <v/>
      </c>
      <c r="E106" s="17" t="str">
        <f t="shared" si="11"/>
        <v/>
      </c>
      <c r="F106" s="12" t="str">
        <f t="shared" si="8"/>
        <v/>
      </c>
      <c r="G106" s="13" t="str">
        <f t="shared" si="9"/>
        <v/>
      </c>
      <c r="H106" s="13" t="str">
        <f t="shared" si="10"/>
        <v/>
      </c>
    </row>
    <row r="107" spans="1:8" x14ac:dyDescent="0.3">
      <c r="B107" t="str">
        <f t="shared" si="6"/>
        <v/>
      </c>
      <c r="C107" s="13" t="str">
        <f>IF(A107="","",VLOOKUP(A107,YF_Spot[#All],5,))</f>
        <v/>
      </c>
      <c r="D107" s="12" t="str">
        <f t="shared" si="12"/>
        <v/>
      </c>
      <c r="E107" s="17" t="str">
        <f t="shared" si="11"/>
        <v/>
      </c>
      <c r="F107" s="12" t="str">
        <f t="shared" si="8"/>
        <v/>
      </c>
      <c r="G107" s="13" t="str">
        <f t="shared" si="9"/>
        <v/>
      </c>
      <c r="H107" s="13" t="str">
        <f t="shared" si="10"/>
        <v/>
      </c>
    </row>
    <row r="108" spans="1:8" x14ac:dyDescent="0.3">
      <c r="B108" t="str">
        <f t="shared" si="6"/>
        <v/>
      </c>
      <c r="C108" s="13" t="str">
        <f>IF(A108="","",VLOOKUP(A108,YF_Spot[#All],5,))</f>
        <v/>
      </c>
      <c r="D108" s="12" t="str">
        <f t="shared" si="12"/>
        <v/>
      </c>
      <c r="E108" s="17" t="str">
        <f t="shared" si="11"/>
        <v/>
      </c>
      <c r="F108" s="12" t="str">
        <f t="shared" si="8"/>
        <v/>
      </c>
      <c r="G108" s="13" t="str">
        <f t="shared" si="9"/>
        <v/>
      </c>
      <c r="H108" s="13" t="str">
        <f t="shared" si="10"/>
        <v/>
      </c>
    </row>
    <row r="109" spans="1:8" x14ac:dyDescent="0.3">
      <c r="B109" t="str">
        <f t="shared" si="6"/>
        <v/>
      </c>
      <c r="C109" s="13" t="str">
        <f>IF(A109="","",VLOOKUP(A109,YF_Spot[#All],5,))</f>
        <v/>
      </c>
      <c r="D109" s="12" t="str">
        <f t="shared" si="12"/>
        <v/>
      </c>
      <c r="E109" s="17" t="str">
        <f t="shared" si="11"/>
        <v/>
      </c>
      <c r="F109" s="12" t="str">
        <f t="shared" si="8"/>
        <v/>
      </c>
      <c r="G109" s="13" t="str">
        <f t="shared" si="9"/>
        <v/>
      </c>
      <c r="H109" s="13" t="str">
        <f t="shared" si="10"/>
        <v/>
      </c>
    </row>
    <row r="110" spans="1:8" x14ac:dyDescent="0.3">
      <c r="B110" t="str">
        <f t="shared" si="6"/>
        <v/>
      </c>
      <c r="C110" s="13" t="str">
        <f>IF(A110="","",VLOOKUP(A110,YF_Spot[#All],5,))</f>
        <v/>
      </c>
      <c r="D110" s="12" t="str">
        <f t="shared" si="12"/>
        <v/>
      </c>
      <c r="E110" s="17" t="str">
        <f t="shared" si="11"/>
        <v/>
      </c>
      <c r="F110" s="12" t="str">
        <f t="shared" si="8"/>
        <v/>
      </c>
      <c r="G110" s="13" t="str">
        <f t="shared" si="9"/>
        <v/>
      </c>
      <c r="H110" s="13" t="str">
        <f t="shared" si="10"/>
        <v/>
      </c>
    </row>
    <row r="111" spans="1:8" x14ac:dyDescent="0.3">
      <c r="B111" t="str">
        <f t="shared" si="6"/>
        <v/>
      </c>
      <c r="C111" s="13" t="str">
        <f>IF(A111="","",VLOOKUP(A111,YF_Spot[#All],5,))</f>
        <v/>
      </c>
      <c r="D111" s="12" t="str">
        <f t="shared" si="12"/>
        <v/>
      </c>
      <c r="E111" s="17" t="str">
        <f t="shared" si="11"/>
        <v/>
      </c>
      <c r="F111" s="12" t="str">
        <f t="shared" si="8"/>
        <v/>
      </c>
      <c r="G111" s="13" t="str">
        <f t="shared" si="9"/>
        <v/>
      </c>
      <c r="H111" s="13" t="str">
        <f t="shared" si="10"/>
        <v/>
      </c>
    </row>
    <row r="112" spans="1:8" x14ac:dyDescent="0.3">
      <c r="B112" t="str">
        <f t="shared" si="6"/>
        <v/>
      </c>
      <c r="C112" s="13" t="str">
        <f>IF(A112="","",VLOOKUP(A112,YF_Spot[#All],5,))</f>
        <v/>
      </c>
      <c r="D112" s="12" t="str">
        <f t="shared" si="12"/>
        <v/>
      </c>
      <c r="E112" s="17" t="str">
        <f t="shared" si="11"/>
        <v/>
      </c>
      <c r="F112" s="12" t="str">
        <f t="shared" si="8"/>
        <v/>
      </c>
      <c r="G112" s="13" t="str">
        <f t="shared" si="9"/>
        <v/>
      </c>
      <c r="H112" s="13" t="str">
        <f t="shared" si="10"/>
        <v/>
      </c>
    </row>
    <row r="113" spans="2:8" x14ac:dyDescent="0.3">
      <c r="B113" t="str">
        <f t="shared" si="6"/>
        <v/>
      </c>
      <c r="C113" s="13" t="str">
        <f>IF(A113="","",VLOOKUP(A113,YF_Spot[#All],5,))</f>
        <v/>
      </c>
      <c r="D113" s="12" t="str">
        <f t="shared" si="12"/>
        <v/>
      </c>
      <c r="E113" s="17" t="str">
        <f t="shared" si="11"/>
        <v/>
      </c>
      <c r="F113" s="12" t="str">
        <f t="shared" si="8"/>
        <v/>
      </c>
      <c r="G113" s="13" t="str">
        <f t="shared" si="9"/>
        <v/>
      </c>
      <c r="H113" s="13" t="str">
        <f t="shared" si="10"/>
        <v/>
      </c>
    </row>
    <row r="114" spans="2:8" x14ac:dyDescent="0.3">
      <c r="B114" t="str">
        <f t="shared" si="6"/>
        <v/>
      </c>
      <c r="C114" s="13" t="str">
        <f>IF(A114="","",VLOOKUP(A114,YF_Spot[#All],5,))</f>
        <v/>
      </c>
      <c r="D114" s="12" t="str">
        <f t="shared" si="12"/>
        <v/>
      </c>
      <c r="E114" s="17" t="str">
        <f t="shared" si="11"/>
        <v/>
      </c>
      <c r="F114" s="12" t="str">
        <f t="shared" si="8"/>
        <v/>
      </c>
      <c r="G114" s="13" t="str">
        <f t="shared" si="9"/>
        <v/>
      </c>
      <c r="H114" s="13" t="str">
        <f t="shared" si="10"/>
        <v/>
      </c>
    </row>
    <row r="115" spans="2:8" x14ac:dyDescent="0.3">
      <c r="B115" t="str">
        <f t="shared" si="6"/>
        <v/>
      </c>
      <c r="C115" s="13" t="str">
        <f>IF(A115="","",VLOOKUP(A115,YF_Spot[#All],5,))</f>
        <v/>
      </c>
      <c r="D115" s="12" t="str">
        <f t="shared" si="12"/>
        <v/>
      </c>
      <c r="E115" s="17" t="str">
        <f t="shared" si="11"/>
        <v/>
      </c>
      <c r="F115" s="12" t="str">
        <f t="shared" si="8"/>
        <v/>
      </c>
      <c r="G115" s="13" t="str">
        <f t="shared" si="9"/>
        <v/>
      </c>
      <c r="H115" s="13" t="str">
        <f t="shared" si="10"/>
        <v/>
      </c>
    </row>
    <row r="116" spans="2:8" x14ac:dyDescent="0.3">
      <c r="B116" t="str">
        <f t="shared" si="6"/>
        <v/>
      </c>
      <c r="C116" s="13" t="str">
        <f>IF(A116="","",VLOOKUP(A116,YF_Spot[#All],5,))</f>
        <v/>
      </c>
      <c r="D116" s="12" t="str">
        <f t="shared" si="12"/>
        <v/>
      </c>
      <c r="E116" s="17" t="str">
        <f t="shared" si="11"/>
        <v/>
      </c>
      <c r="F116" s="12" t="str">
        <f t="shared" si="8"/>
        <v/>
      </c>
      <c r="G116" s="13" t="str">
        <f t="shared" si="9"/>
        <v/>
      </c>
      <c r="H116" s="13" t="str">
        <f t="shared" si="10"/>
        <v/>
      </c>
    </row>
    <row r="117" spans="2:8" x14ac:dyDescent="0.3">
      <c r="B117" t="str">
        <f t="shared" si="6"/>
        <v/>
      </c>
      <c r="C117" s="13" t="str">
        <f>IF(A117="","",VLOOKUP(A117,YF_Spot[#All],5,))</f>
        <v/>
      </c>
      <c r="D117" s="12" t="str">
        <f t="shared" si="12"/>
        <v/>
      </c>
      <c r="E117" s="17" t="str">
        <f t="shared" si="11"/>
        <v/>
      </c>
      <c r="F117" s="12" t="str">
        <f t="shared" si="8"/>
        <v/>
      </c>
      <c r="G117" s="13" t="str">
        <f t="shared" si="9"/>
        <v/>
      </c>
      <c r="H117" s="13" t="str">
        <f t="shared" si="10"/>
        <v/>
      </c>
    </row>
    <row r="118" spans="2:8" x14ac:dyDescent="0.3">
      <c r="B118" t="str">
        <f t="shared" si="6"/>
        <v/>
      </c>
      <c r="C118" s="13" t="str">
        <f>IF(A118="","",VLOOKUP(A118,YF_Spot[#All],5,))</f>
        <v/>
      </c>
      <c r="D118" s="12" t="str">
        <f t="shared" si="12"/>
        <v/>
      </c>
      <c r="E118" s="17" t="str">
        <f t="shared" si="11"/>
        <v/>
      </c>
      <c r="F118" s="12" t="str">
        <f t="shared" si="8"/>
        <v/>
      </c>
      <c r="G118" s="13" t="str">
        <f t="shared" si="9"/>
        <v/>
      </c>
      <c r="H118" s="13" t="str">
        <f t="shared" si="10"/>
        <v/>
      </c>
    </row>
    <row r="119" spans="2:8" x14ac:dyDescent="0.3">
      <c r="B119" t="str">
        <f t="shared" si="6"/>
        <v/>
      </c>
      <c r="C119" s="13" t="str">
        <f>IF(A119="","",VLOOKUP(A119,YF_Spot[#All],5,))</f>
        <v/>
      </c>
      <c r="D119" s="12" t="str">
        <f t="shared" si="12"/>
        <v/>
      </c>
      <c r="E119" s="17" t="str">
        <f t="shared" si="11"/>
        <v/>
      </c>
      <c r="F119" s="12" t="str">
        <f t="shared" si="8"/>
        <v/>
      </c>
      <c r="G119" s="13" t="str">
        <f t="shared" si="9"/>
        <v/>
      </c>
      <c r="H119" s="13" t="str">
        <f t="shared" si="10"/>
        <v/>
      </c>
    </row>
    <row r="120" spans="2:8" x14ac:dyDescent="0.3">
      <c r="B120" t="str">
        <f t="shared" si="6"/>
        <v/>
      </c>
      <c r="C120" s="13" t="str">
        <f>IF(A120="","",VLOOKUP(A120,YF_Spot[#All],5,))</f>
        <v/>
      </c>
      <c r="D120" s="12" t="str">
        <f t="shared" si="12"/>
        <v/>
      </c>
      <c r="E120" s="17" t="str">
        <f t="shared" si="11"/>
        <v/>
      </c>
      <c r="F120" s="12" t="str">
        <f t="shared" si="8"/>
        <v/>
      </c>
      <c r="G120" s="13" t="str">
        <f t="shared" si="9"/>
        <v/>
      </c>
      <c r="H120" s="13" t="str">
        <f t="shared" si="10"/>
        <v/>
      </c>
    </row>
    <row r="121" spans="2:8" x14ac:dyDescent="0.3">
      <c r="B121" t="str">
        <f t="shared" si="6"/>
        <v/>
      </c>
      <c r="C121" s="13" t="str">
        <f>IF(A121="","",VLOOKUP(A121,YF_Spot[#All],5,))</f>
        <v/>
      </c>
      <c r="D121" s="12" t="str">
        <f t="shared" si="12"/>
        <v/>
      </c>
      <c r="E121" s="17" t="str">
        <f t="shared" si="11"/>
        <v/>
      </c>
      <c r="F121" s="12" t="str">
        <f t="shared" si="8"/>
        <v/>
      </c>
      <c r="G121" s="13" t="str">
        <f t="shared" si="9"/>
        <v/>
      </c>
      <c r="H121" s="13" t="str">
        <f t="shared" si="10"/>
        <v/>
      </c>
    </row>
    <row r="122" spans="2:8" x14ac:dyDescent="0.3">
      <c r="B122" t="str">
        <f t="shared" si="6"/>
        <v/>
      </c>
      <c r="C122" s="13" t="str">
        <f>IF(A122="","",VLOOKUP(A122,YF_Spot[#All],5,))</f>
        <v/>
      </c>
      <c r="D122" s="12" t="str">
        <f t="shared" si="12"/>
        <v/>
      </c>
      <c r="E122" s="17" t="str">
        <f t="shared" si="11"/>
        <v/>
      </c>
      <c r="F122" s="12" t="str">
        <f t="shared" si="8"/>
        <v/>
      </c>
      <c r="G122" s="13" t="str">
        <f t="shared" si="9"/>
        <v/>
      </c>
      <c r="H122" s="13" t="str">
        <f t="shared" si="10"/>
        <v/>
      </c>
    </row>
    <row r="123" spans="2:8" x14ac:dyDescent="0.3">
      <c r="B123" t="str">
        <f t="shared" si="6"/>
        <v/>
      </c>
      <c r="C123" s="13" t="str">
        <f>IF(A123="","",VLOOKUP(A123,YF_Spot[#All],5,))</f>
        <v/>
      </c>
      <c r="D123" s="12" t="str">
        <f t="shared" si="12"/>
        <v/>
      </c>
      <c r="E123" s="17" t="str">
        <f t="shared" si="11"/>
        <v/>
      </c>
      <c r="F123" s="12" t="str">
        <f t="shared" si="8"/>
        <v/>
      </c>
      <c r="G123" s="13" t="str">
        <f t="shared" si="9"/>
        <v/>
      </c>
      <c r="H123" s="13" t="str">
        <f t="shared" si="10"/>
        <v/>
      </c>
    </row>
    <row r="124" spans="2:8" x14ac:dyDescent="0.3">
      <c r="B124" t="str">
        <f t="shared" si="6"/>
        <v/>
      </c>
      <c r="C124" s="13" t="str">
        <f>IF(A124="","",VLOOKUP(A124,YF_Spot[#All],5,))</f>
        <v/>
      </c>
      <c r="D124" s="12" t="str">
        <f t="shared" si="12"/>
        <v/>
      </c>
      <c r="E124" s="17" t="str">
        <f t="shared" si="11"/>
        <v/>
      </c>
      <c r="F124" s="12" t="str">
        <f t="shared" si="8"/>
        <v/>
      </c>
      <c r="G124" s="13" t="str">
        <f t="shared" si="9"/>
        <v/>
      </c>
      <c r="H124" s="13" t="str">
        <f t="shared" si="10"/>
        <v/>
      </c>
    </row>
    <row r="125" spans="2:8" x14ac:dyDescent="0.3">
      <c r="B125" t="str">
        <f t="shared" si="6"/>
        <v/>
      </c>
      <c r="C125" s="13" t="str">
        <f>IF(A125="","",VLOOKUP(A125,YF_Spot[#All],5,))</f>
        <v/>
      </c>
      <c r="D125" s="12" t="str">
        <f t="shared" si="12"/>
        <v/>
      </c>
      <c r="E125" s="17" t="str">
        <f t="shared" si="11"/>
        <v/>
      </c>
      <c r="F125" s="12" t="str">
        <f t="shared" si="8"/>
        <v/>
      </c>
      <c r="G125" s="13" t="str">
        <f t="shared" si="9"/>
        <v/>
      </c>
      <c r="H125" s="13" t="str">
        <f t="shared" si="10"/>
        <v/>
      </c>
    </row>
    <row r="126" spans="2:8" x14ac:dyDescent="0.3">
      <c r="B126" t="str">
        <f t="shared" si="6"/>
        <v/>
      </c>
      <c r="C126" s="13" t="str">
        <f>IF(A126="","",VLOOKUP(A126,YF_Spot[#All],5,))</f>
        <v/>
      </c>
      <c r="D126" s="12" t="str">
        <f t="shared" si="12"/>
        <v/>
      </c>
      <c r="E126" s="17" t="str">
        <f t="shared" si="11"/>
        <v/>
      </c>
      <c r="F126" s="12" t="str">
        <f t="shared" si="8"/>
        <v/>
      </c>
      <c r="G126" s="13" t="str">
        <f t="shared" si="9"/>
        <v/>
      </c>
      <c r="H126" s="13" t="str">
        <f t="shared" si="10"/>
        <v/>
      </c>
    </row>
    <row r="127" spans="2:8" x14ac:dyDescent="0.3">
      <c r="B127" t="str">
        <f t="shared" si="6"/>
        <v/>
      </c>
      <c r="C127" s="13" t="str">
        <f>IF(A127="","",VLOOKUP(A127,YF_Spot[#All],5,))</f>
        <v/>
      </c>
      <c r="D127" s="12" t="str">
        <f t="shared" si="12"/>
        <v/>
      </c>
      <c r="E127" s="17" t="str">
        <f t="shared" si="11"/>
        <v/>
      </c>
      <c r="F127" s="12" t="str">
        <f t="shared" si="8"/>
        <v/>
      </c>
      <c r="G127" s="13" t="str">
        <f t="shared" si="9"/>
        <v/>
      </c>
      <c r="H127" s="13" t="str">
        <f t="shared" si="10"/>
        <v/>
      </c>
    </row>
    <row r="128" spans="2:8" x14ac:dyDescent="0.3">
      <c r="B128" t="str">
        <f t="shared" si="6"/>
        <v/>
      </c>
      <c r="C128" s="13" t="str">
        <f>IF(A128="","",VLOOKUP(A128,YF_Spot[#All],5,))</f>
        <v/>
      </c>
      <c r="D128" s="12" t="str">
        <f t="shared" si="12"/>
        <v/>
      </c>
      <c r="E128" s="17" t="str">
        <f t="shared" si="11"/>
        <v/>
      </c>
      <c r="F128" s="12" t="str">
        <f t="shared" si="8"/>
        <v/>
      </c>
      <c r="G128" s="13" t="str">
        <f t="shared" si="9"/>
        <v/>
      </c>
      <c r="H128" s="13" t="str">
        <f t="shared" si="10"/>
        <v/>
      </c>
    </row>
    <row r="129" spans="2:8" x14ac:dyDescent="0.3">
      <c r="B129" t="str">
        <f t="shared" si="6"/>
        <v/>
      </c>
      <c r="C129" s="13" t="str">
        <f>IF(A129="","",VLOOKUP(A129,YF_Spot[#All],5,))</f>
        <v/>
      </c>
      <c r="D129" s="12" t="str">
        <f t="shared" si="12"/>
        <v/>
      </c>
      <c r="E129" s="17" t="str">
        <f t="shared" si="11"/>
        <v/>
      </c>
      <c r="F129" s="12" t="str">
        <f t="shared" si="8"/>
        <v/>
      </c>
      <c r="G129" s="13" t="str">
        <f t="shared" si="9"/>
        <v/>
      </c>
      <c r="H129" s="13" t="str">
        <f t="shared" si="10"/>
        <v/>
      </c>
    </row>
    <row r="130" spans="2:8" x14ac:dyDescent="0.3">
      <c r="B130" t="str">
        <f t="shared" si="6"/>
        <v/>
      </c>
      <c r="C130" s="13" t="str">
        <f>IF(A130="","",VLOOKUP(A130,YF_Spot[#All],5,))</f>
        <v/>
      </c>
      <c r="D130" s="12" t="str">
        <f t="shared" si="12"/>
        <v/>
      </c>
      <c r="E130" s="17" t="str">
        <f t="shared" si="11"/>
        <v/>
      </c>
      <c r="F130" s="12" t="str">
        <f t="shared" si="8"/>
        <v/>
      </c>
      <c r="G130" s="13" t="str">
        <f t="shared" si="9"/>
        <v/>
      </c>
      <c r="H130" s="13" t="str">
        <f t="shared" si="10"/>
        <v/>
      </c>
    </row>
    <row r="131" spans="2:8" x14ac:dyDescent="0.3">
      <c r="B131" t="str">
        <f t="shared" ref="B131:B194" si="13">IF(A131="","",_xlfn.RANK.EQ(A131,A:A,0))</f>
        <v/>
      </c>
      <c r="C131" s="13" t="str">
        <f>IF(A131="","",VLOOKUP(A131,YF_Spot[#All],5,))</f>
        <v/>
      </c>
      <c r="D131" s="12" t="str">
        <f t="shared" si="12"/>
        <v/>
      </c>
      <c r="E131" s="17" t="str">
        <f t="shared" si="11"/>
        <v/>
      </c>
      <c r="F131" s="12" t="str">
        <f t="shared" si="8"/>
        <v/>
      </c>
      <c r="G131" s="13" t="str">
        <f t="shared" si="9"/>
        <v/>
      </c>
      <c r="H131" s="13" t="str">
        <f t="shared" si="10"/>
        <v/>
      </c>
    </row>
    <row r="132" spans="2:8" x14ac:dyDescent="0.3">
      <c r="B132" t="str">
        <f t="shared" si="13"/>
        <v/>
      </c>
      <c r="C132" s="13" t="str">
        <f>IF(A132="","",VLOOKUP(A132,YF_Spot[#All],5,))</f>
        <v/>
      </c>
      <c r="D132" s="12" t="str">
        <f t="shared" si="12"/>
        <v/>
      </c>
      <c r="E132" s="17" t="str">
        <f t="shared" si="11"/>
        <v/>
      </c>
      <c r="F132" s="12" t="str">
        <f t="shared" ref="F132:F195" si="14">IF(A132="","",SQRT(E132))</f>
        <v/>
      </c>
      <c r="G132" s="13" t="str">
        <f t="shared" ref="G132:G195" si="15">IF(A132="","",C132*(1-2*F132))</f>
        <v/>
      </c>
      <c r="H132" s="13" t="str">
        <f t="shared" ref="H132:H195" si="16">IF(A132="","",C132*(1+2*F132))</f>
        <v/>
      </c>
    </row>
    <row r="133" spans="2:8" x14ac:dyDescent="0.3">
      <c r="B133" t="str">
        <f t="shared" si="13"/>
        <v/>
      </c>
      <c r="C133" s="13" t="str">
        <f>IF(A133="","",VLOOKUP(A133,YF_Spot[#All],5,))</f>
        <v/>
      </c>
      <c r="D133" s="12" t="str">
        <f t="shared" si="12"/>
        <v/>
      </c>
      <c r="E133" s="17" t="str">
        <f t="shared" ref="E133:E196" si="17">IF(A133="","",$P$1*E132+(1-$P$1)*D132^2)</f>
        <v/>
      </c>
      <c r="F133" s="12" t="str">
        <f t="shared" si="14"/>
        <v/>
      </c>
      <c r="G133" s="13" t="str">
        <f t="shared" si="15"/>
        <v/>
      </c>
      <c r="H133" s="13" t="str">
        <f t="shared" si="16"/>
        <v/>
      </c>
    </row>
    <row r="134" spans="2:8" x14ac:dyDescent="0.3">
      <c r="B134" t="str">
        <f t="shared" si="13"/>
        <v/>
      </c>
      <c r="C134" s="13" t="str">
        <f>IF(A134="","",VLOOKUP(A134,YF_Spot[#All],5,))</f>
        <v/>
      </c>
      <c r="D134" s="12" t="str">
        <f t="shared" si="12"/>
        <v/>
      </c>
      <c r="E134" s="17" t="str">
        <f t="shared" si="17"/>
        <v/>
      </c>
      <c r="F134" s="12" t="str">
        <f t="shared" si="14"/>
        <v/>
      </c>
      <c r="G134" s="13" t="str">
        <f t="shared" si="15"/>
        <v/>
      </c>
      <c r="H134" s="13" t="str">
        <f t="shared" si="16"/>
        <v/>
      </c>
    </row>
    <row r="135" spans="2:8" x14ac:dyDescent="0.3">
      <c r="B135" t="str">
        <f t="shared" si="13"/>
        <v/>
      </c>
      <c r="C135" s="13" t="str">
        <f>IF(A135="","",VLOOKUP(A135,YF_Spot[#All],5,))</f>
        <v/>
      </c>
      <c r="D135" s="12" t="str">
        <f t="shared" si="12"/>
        <v/>
      </c>
      <c r="E135" s="17" t="str">
        <f t="shared" si="17"/>
        <v/>
      </c>
      <c r="F135" s="12" t="str">
        <f t="shared" si="14"/>
        <v/>
      </c>
      <c r="G135" s="13" t="str">
        <f t="shared" si="15"/>
        <v/>
      </c>
      <c r="H135" s="13" t="str">
        <f t="shared" si="16"/>
        <v/>
      </c>
    </row>
    <row r="136" spans="2:8" x14ac:dyDescent="0.3">
      <c r="B136" t="str">
        <f t="shared" si="13"/>
        <v/>
      </c>
      <c r="C136" s="13" t="str">
        <f>IF(A136="","",VLOOKUP(A136,YF_Spot[#All],5,))</f>
        <v/>
      </c>
      <c r="D136" s="12" t="str">
        <f t="shared" si="12"/>
        <v/>
      </c>
      <c r="E136" s="17" t="str">
        <f t="shared" si="17"/>
        <v/>
      </c>
      <c r="F136" s="12" t="str">
        <f t="shared" si="14"/>
        <v/>
      </c>
      <c r="G136" s="13" t="str">
        <f t="shared" si="15"/>
        <v/>
      </c>
      <c r="H136" s="13" t="str">
        <f t="shared" si="16"/>
        <v/>
      </c>
    </row>
    <row r="137" spans="2:8" x14ac:dyDescent="0.3">
      <c r="B137" t="str">
        <f t="shared" si="13"/>
        <v/>
      </c>
      <c r="C137" s="13" t="str">
        <f>IF(A137="","",VLOOKUP(A137,YF_Spot[#All],5,))</f>
        <v/>
      </c>
      <c r="D137" s="12" t="str">
        <f t="shared" si="12"/>
        <v/>
      </c>
      <c r="E137" s="17" t="str">
        <f t="shared" si="17"/>
        <v/>
      </c>
      <c r="F137" s="12" t="str">
        <f t="shared" si="14"/>
        <v/>
      </c>
      <c r="G137" s="13" t="str">
        <f t="shared" si="15"/>
        <v/>
      </c>
      <c r="H137" s="13" t="str">
        <f t="shared" si="16"/>
        <v/>
      </c>
    </row>
    <row r="138" spans="2:8" x14ac:dyDescent="0.3">
      <c r="B138" t="str">
        <f t="shared" si="13"/>
        <v/>
      </c>
      <c r="C138" s="13" t="str">
        <f>IF(A138="","",VLOOKUP(A138,YF_Spot[#All],5,))</f>
        <v/>
      </c>
      <c r="D138" s="12" t="str">
        <f t="shared" si="12"/>
        <v/>
      </c>
      <c r="E138" s="17" t="str">
        <f t="shared" si="17"/>
        <v/>
      </c>
      <c r="F138" s="12" t="str">
        <f t="shared" si="14"/>
        <v/>
      </c>
      <c r="G138" s="13" t="str">
        <f t="shared" si="15"/>
        <v/>
      </c>
      <c r="H138" s="13" t="str">
        <f t="shared" si="16"/>
        <v/>
      </c>
    </row>
    <row r="139" spans="2:8" x14ac:dyDescent="0.3">
      <c r="B139" t="str">
        <f t="shared" si="13"/>
        <v/>
      </c>
      <c r="C139" s="13" t="str">
        <f>IF(A139="","",VLOOKUP(A139,YF_Spot[#All],5,))</f>
        <v/>
      </c>
      <c r="D139" s="12" t="str">
        <f t="shared" si="12"/>
        <v/>
      </c>
      <c r="E139" s="17" t="str">
        <f t="shared" si="17"/>
        <v/>
      </c>
      <c r="F139" s="12" t="str">
        <f t="shared" si="14"/>
        <v/>
      </c>
      <c r="G139" s="13" t="str">
        <f t="shared" si="15"/>
        <v/>
      </c>
      <c r="H139" s="13" t="str">
        <f t="shared" si="16"/>
        <v/>
      </c>
    </row>
    <row r="140" spans="2:8" x14ac:dyDescent="0.3">
      <c r="B140" t="str">
        <f t="shared" si="13"/>
        <v/>
      </c>
      <c r="C140" s="13" t="str">
        <f>IF(A140="","",VLOOKUP(A140,YF_Spot[#All],5,))</f>
        <v/>
      </c>
      <c r="D140" s="12" t="str">
        <f t="shared" si="12"/>
        <v/>
      </c>
      <c r="E140" s="17" t="str">
        <f t="shared" si="17"/>
        <v/>
      </c>
      <c r="F140" s="12" t="str">
        <f t="shared" si="14"/>
        <v/>
      </c>
      <c r="G140" s="13" t="str">
        <f t="shared" si="15"/>
        <v/>
      </c>
      <c r="H140" s="13" t="str">
        <f t="shared" si="16"/>
        <v/>
      </c>
    </row>
    <row r="141" spans="2:8" x14ac:dyDescent="0.3">
      <c r="B141" t="str">
        <f t="shared" si="13"/>
        <v/>
      </c>
      <c r="C141" s="13" t="str">
        <f>IF(A141="","",VLOOKUP(A141,YF_Spot[#All],5,))</f>
        <v/>
      </c>
      <c r="D141" s="12" t="str">
        <f t="shared" si="12"/>
        <v/>
      </c>
      <c r="E141" s="17" t="str">
        <f t="shared" si="17"/>
        <v/>
      </c>
      <c r="F141" s="12" t="str">
        <f t="shared" si="14"/>
        <v/>
      </c>
      <c r="G141" s="13" t="str">
        <f t="shared" si="15"/>
        <v/>
      </c>
      <c r="H141" s="13" t="str">
        <f t="shared" si="16"/>
        <v/>
      </c>
    </row>
    <row r="142" spans="2:8" x14ac:dyDescent="0.3">
      <c r="B142" t="str">
        <f t="shared" si="13"/>
        <v/>
      </c>
      <c r="C142" s="13" t="str">
        <f>IF(A142="","",VLOOKUP(A142,YF_Spot[#All],5,))</f>
        <v/>
      </c>
      <c r="D142" s="12" t="str">
        <f t="shared" si="12"/>
        <v/>
      </c>
      <c r="E142" s="17" t="str">
        <f t="shared" si="17"/>
        <v/>
      </c>
      <c r="F142" s="12" t="str">
        <f t="shared" si="14"/>
        <v/>
      </c>
      <c r="G142" s="13" t="str">
        <f t="shared" si="15"/>
        <v/>
      </c>
      <c r="H142" s="13" t="str">
        <f t="shared" si="16"/>
        <v/>
      </c>
    </row>
    <row r="143" spans="2:8" x14ac:dyDescent="0.3">
      <c r="B143" t="str">
        <f t="shared" si="13"/>
        <v/>
      </c>
      <c r="C143" s="13" t="str">
        <f>IF(A143="","",VLOOKUP(A143,YF_Spot[#All],5,))</f>
        <v/>
      </c>
      <c r="D143" s="12" t="str">
        <f t="shared" si="12"/>
        <v/>
      </c>
      <c r="E143" s="17" t="str">
        <f t="shared" si="17"/>
        <v/>
      </c>
      <c r="F143" s="12" t="str">
        <f t="shared" si="14"/>
        <v/>
      </c>
      <c r="G143" s="13" t="str">
        <f t="shared" si="15"/>
        <v/>
      </c>
      <c r="H143" s="13" t="str">
        <f t="shared" si="16"/>
        <v/>
      </c>
    </row>
    <row r="144" spans="2:8" x14ac:dyDescent="0.3">
      <c r="B144" t="str">
        <f t="shared" si="13"/>
        <v/>
      </c>
      <c r="C144" s="13" t="str">
        <f>IF(A144="","",VLOOKUP(A144,YF_Spot[#All],5,))</f>
        <v/>
      </c>
      <c r="D144" s="12" t="str">
        <f t="shared" si="12"/>
        <v/>
      </c>
      <c r="E144" s="17" t="str">
        <f t="shared" si="17"/>
        <v/>
      </c>
      <c r="F144" s="12" t="str">
        <f t="shared" si="14"/>
        <v/>
      </c>
      <c r="G144" s="13" t="str">
        <f t="shared" si="15"/>
        <v/>
      </c>
      <c r="H144" s="13" t="str">
        <f t="shared" si="16"/>
        <v/>
      </c>
    </row>
    <row r="145" spans="2:8" x14ac:dyDescent="0.3">
      <c r="B145" t="str">
        <f t="shared" si="13"/>
        <v/>
      </c>
      <c r="C145" s="13" t="str">
        <f>IF(A145="","",VLOOKUP(A145,YF_Spot[#All],5,))</f>
        <v/>
      </c>
      <c r="D145" s="12" t="str">
        <f t="shared" si="12"/>
        <v/>
      </c>
      <c r="E145" s="17" t="str">
        <f t="shared" si="17"/>
        <v/>
      </c>
      <c r="F145" s="12" t="str">
        <f t="shared" si="14"/>
        <v/>
      </c>
      <c r="G145" s="13" t="str">
        <f t="shared" si="15"/>
        <v/>
      </c>
      <c r="H145" s="13" t="str">
        <f t="shared" si="16"/>
        <v/>
      </c>
    </row>
    <row r="146" spans="2:8" x14ac:dyDescent="0.3">
      <c r="B146" t="str">
        <f t="shared" si="13"/>
        <v/>
      </c>
      <c r="C146" s="13" t="str">
        <f>IF(A146="","",VLOOKUP(A146,YF_Spot[#All],5,))</f>
        <v/>
      </c>
      <c r="D146" s="12" t="str">
        <f t="shared" si="12"/>
        <v/>
      </c>
      <c r="E146" s="17" t="str">
        <f t="shared" si="17"/>
        <v/>
      </c>
      <c r="F146" s="12" t="str">
        <f t="shared" si="14"/>
        <v/>
      </c>
      <c r="G146" s="13" t="str">
        <f t="shared" si="15"/>
        <v/>
      </c>
      <c r="H146" s="13" t="str">
        <f t="shared" si="16"/>
        <v/>
      </c>
    </row>
    <row r="147" spans="2:8" x14ac:dyDescent="0.3">
      <c r="B147" t="str">
        <f t="shared" si="13"/>
        <v/>
      </c>
      <c r="C147" s="13" t="str">
        <f>IF(A147="","",VLOOKUP(A147,YF_Spot[#All],5,))</f>
        <v/>
      </c>
      <c r="D147" s="12" t="str">
        <f t="shared" si="12"/>
        <v/>
      </c>
      <c r="E147" s="17" t="str">
        <f t="shared" si="17"/>
        <v/>
      </c>
      <c r="F147" s="12" t="str">
        <f t="shared" si="14"/>
        <v/>
      </c>
      <c r="G147" s="13" t="str">
        <f t="shared" si="15"/>
        <v/>
      </c>
      <c r="H147" s="13" t="str">
        <f t="shared" si="16"/>
        <v/>
      </c>
    </row>
    <row r="148" spans="2:8" x14ac:dyDescent="0.3">
      <c r="B148" t="str">
        <f t="shared" si="13"/>
        <v/>
      </c>
      <c r="C148" s="13" t="str">
        <f>IF(A148="","",VLOOKUP(A148,YF_Spot[#All],5,))</f>
        <v/>
      </c>
      <c r="D148" s="12" t="str">
        <f t="shared" si="12"/>
        <v/>
      </c>
      <c r="E148" s="17" t="str">
        <f t="shared" si="17"/>
        <v/>
      </c>
      <c r="F148" s="12" t="str">
        <f t="shared" si="14"/>
        <v/>
      </c>
      <c r="G148" s="13" t="str">
        <f t="shared" si="15"/>
        <v/>
      </c>
      <c r="H148" s="13" t="str">
        <f t="shared" si="16"/>
        <v/>
      </c>
    </row>
    <row r="149" spans="2:8" x14ac:dyDescent="0.3">
      <c r="B149" t="str">
        <f t="shared" si="13"/>
        <v/>
      </c>
      <c r="C149" s="13" t="str">
        <f>IF(A149="","",VLOOKUP(A149,YF_Spot[#All],5,))</f>
        <v/>
      </c>
      <c r="D149" s="12" t="str">
        <f t="shared" si="12"/>
        <v/>
      </c>
      <c r="E149" s="17" t="str">
        <f t="shared" si="17"/>
        <v/>
      </c>
      <c r="F149" s="12" t="str">
        <f t="shared" si="14"/>
        <v/>
      </c>
      <c r="G149" s="13" t="str">
        <f t="shared" si="15"/>
        <v/>
      </c>
      <c r="H149" s="13" t="str">
        <f t="shared" si="16"/>
        <v/>
      </c>
    </row>
    <row r="150" spans="2:8" x14ac:dyDescent="0.3">
      <c r="B150" t="str">
        <f t="shared" si="13"/>
        <v/>
      </c>
      <c r="C150" s="13" t="str">
        <f>IF(A150="","",VLOOKUP(A150,YF_Spot[#All],5,))</f>
        <v/>
      </c>
      <c r="D150" s="12" t="str">
        <f t="shared" si="12"/>
        <v/>
      </c>
      <c r="E150" s="17" t="str">
        <f t="shared" si="17"/>
        <v/>
      </c>
      <c r="F150" s="12" t="str">
        <f t="shared" si="14"/>
        <v/>
      </c>
      <c r="G150" s="13" t="str">
        <f t="shared" si="15"/>
        <v/>
      </c>
      <c r="H150" s="13" t="str">
        <f t="shared" si="16"/>
        <v/>
      </c>
    </row>
    <row r="151" spans="2:8" x14ac:dyDescent="0.3">
      <c r="B151" t="str">
        <f t="shared" si="13"/>
        <v/>
      </c>
      <c r="C151" s="13" t="str">
        <f>IF(A151="","",VLOOKUP(A151,YF_Spot[#All],5,))</f>
        <v/>
      </c>
      <c r="D151" s="12" t="str">
        <f t="shared" si="12"/>
        <v/>
      </c>
      <c r="E151" s="17" t="str">
        <f t="shared" si="17"/>
        <v/>
      </c>
      <c r="F151" s="12" t="str">
        <f t="shared" si="14"/>
        <v/>
      </c>
      <c r="G151" s="13" t="str">
        <f t="shared" si="15"/>
        <v/>
      </c>
      <c r="H151" s="13" t="str">
        <f t="shared" si="16"/>
        <v/>
      </c>
    </row>
    <row r="152" spans="2:8" x14ac:dyDescent="0.3">
      <c r="B152" t="str">
        <f t="shared" si="13"/>
        <v/>
      </c>
      <c r="C152" s="13" t="str">
        <f>IF(A152="","",VLOOKUP(A152,YF_Spot[#All],5,))</f>
        <v/>
      </c>
      <c r="D152" s="12" t="str">
        <f t="shared" si="12"/>
        <v/>
      </c>
      <c r="E152" s="17" t="str">
        <f t="shared" si="17"/>
        <v/>
      </c>
      <c r="F152" s="12" t="str">
        <f t="shared" si="14"/>
        <v/>
      </c>
      <c r="G152" s="13" t="str">
        <f t="shared" si="15"/>
        <v/>
      </c>
      <c r="H152" s="13" t="str">
        <f t="shared" si="16"/>
        <v/>
      </c>
    </row>
    <row r="153" spans="2:8" x14ac:dyDescent="0.3">
      <c r="B153" t="str">
        <f t="shared" si="13"/>
        <v/>
      </c>
      <c r="C153" s="13" t="str">
        <f>IF(A153="","",VLOOKUP(A153,YF_Spot[#All],5,))</f>
        <v/>
      </c>
      <c r="D153" s="12" t="str">
        <f t="shared" si="12"/>
        <v/>
      </c>
      <c r="E153" s="17" t="str">
        <f t="shared" si="17"/>
        <v/>
      </c>
      <c r="F153" s="12" t="str">
        <f t="shared" si="14"/>
        <v/>
      </c>
      <c r="G153" s="13" t="str">
        <f t="shared" si="15"/>
        <v/>
      </c>
      <c r="H153" s="13" t="str">
        <f t="shared" si="16"/>
        <v/>
      </c>
    </row>
    <row r="154" spans="2:8" x14ac:dyDescent="0.3">
      <c r="B154" t="str">
        <f t="shared" si="13"/>
        <v/>
      </c>
      <c r="C154" s="13" t="str">
        <f>IF(A154="","",VLOOKUP(A154,YF_Spot[#All],5,))</f>
        <v/>
      </c>
      <c r="D154" s="12" t="str">
        <f t="shared" si="12"/>
        <v/>
      </c>
      <c r="E154" s="17" t="str">
        <f t="shared" si="17"/>
        <v/>
      </c>
      <c r="F154" s="12" t="str">
        <f t="shared" si="14"/>
        <v/>
      </c>
      <c r="G154" s="13" t="str">
        <f t="shared" si="15"/>
        <v/>
      </c>
      <c r="H154" s="13" t="str">
        <f t="shared" si="16"/>
        <v/>
      </c>
    </row>
    <row r="155" spans="2:8" x14ac:dyDescent="0.3">
      <c r="B155" t="str">
        <f t="shared" si="13"/>
        <v/>
      </c>
      <c r="C155" s="13" t="str">
        <f>IF(A155="","",VLOOKUP(A155,YF_Spot[#All],5,))</f>
        <v/>
      </c>
      <c r="D155" s="12" t="str">
        <f t="shared" si="12"/>
        <v/>
      </c>
      <c r="E155" s="17" t="str">
        <f t="shared" si="17"/>
        <v/>
      </c>
      <c r="F155" s="12" t="str">
        <f t="shared" si="14"/>
        <v/>
      </c>
      <c r="G155" s="13" t="str">
        <f t="shared" si="15"/>
        <v/>
      </c>
      <c r="H155" s="13" t="str">
        <f t="shared" si="16"/>
        <v/>
      </c>
    </row>
    <row r="156" spans="2:8" x14ac:dyDescent="0.3">
      <c r="B156" t="str">
        <f t="shared" si="13"/>
        <v/>
      </c>
      <c r="C156" s="13" t="str">
        <f>IF(A156="","",VLOOKUP(A156,YF_Spot[#All],5,))</f>
        <v/>
      </c>
      <c r="D156" s="12" t="str">
        <f t="shared" si="12"/>
        <v/>
      </c>
      <c r="E156" s="17" t="str">
        <f t="shared" si="17"/>
        <v/>
      </c>
      <c r="F156" s="12" t="str">
        <f t="shared" si="14"/>
        <v/>
      </c>
      <c r="G156" s="13" t="str">
        <f t="shared" si="15"/>
        <v/>
      </c>
      <c r="H156" s="13" t="str">
        <f t="shared" si="16"/>
        <v/>
      </c>
    </row>
    <row r="157" spans="2:8" x14ac:dyDescent="0.3">
      <c r="B157" t="str">
        <f t="shared" si="13"/>
        <v/>
      </c>
      <c r="C157" s="13" t="str">
        <f>IF(A157="","",VLOOKUP(A157,YF_Spot[#All],5,))</f>
        <v/>
      </c>
      <c r="D157" s="12" t="str">
        <f t="shared" si="12"/>
        <v/>
      </c>
      <c r="E157" s="17" t="str">
        <f t="shared" si="17"/>
        <v/>
      </c>
      <c r="F157" s="12" t="str">
        <f t="shared" si="14"/>
        <v/>
      </c>
      <c r="G157" s="13" t="str">
        <f t="shared" si="15"/>
        <v/>
      </c>
      <c r="H157" s="13" t="str">
        <f t="shared" si="16"/>
        <v/>
      </c>
    </row>
    <row r="158" spans="2:8" x14ac:dyDescent="0.3">
      <c r="B158" t="str">
        <f t="shared" si="13"/>
        <v/>
      </c>
      <c r="C158" s="13" t="str">
        <f>IF(A158="","",VLOOKUP(A158,YF_Spot[#All],5,))</f>
        <v/>
      </c>
      <c r="D158" s="12" t="str">
        <f t="shared" si="12"/>
        <v/>
      </c>
      <c r="E158" s="17" t="str">
        <f t="shared" si="17"/>
        <v/>
      </c>
      <c r="F158" s="12" t="str">
        <f t="shared" si="14"/>
        <v/>
      </c>
      <c r="G158" s="13" t="str">
        <f t="shared" si="15"/>
        <v/>
      </c>
      <c r="H158" s="13" t="str">
        <f t="shared" si="16"/>
        <v/>
      </c>
    </row>
    <row r="159" spans="2:8" x14ac:dyDescent="0.3">
      <c r="B159" t="str">
        <f t="shared" si="13"/>
        <v/>
      </c>
      <c r="C159" s="13" t="str">
        <f>IF(A159="","",VLOOKUP(A159,YF_Spot[#All],5,))</f>
        <v/>
      </c>
      <c r="D159" s="12" t="str">
        <f t="shared" si="12"/>
        <v/>
      </c>
      <c r="E159" s="17" t="str">
        <f t="shared" si="17"/>
        <v/>
      </c>
      <c r="F159" s="12" t="str">
        <f t="shared" si="14"/>
        <v/>
      </c>
      <c r="G159" s="13" t="str">
        <f t="shared" si="15"/>
        <v/>
      </c>
      <c r="H159" s="13" t="str">
        <f t="shared" si="16"/>
        <v/>
      </c>
    </row>
    <row r="160" spans="2:8" x14ac:dyDescent="0.3">
      <c r="B160" t="str">
        <f t="shared" si="13"/>
        <v/>
      </c>
      <c r="C160" s="13" t="str">
        <f>IF(A160="","",VLOOKUP(A160,YF_Spot[#All],5,))</f>
        <v/>
      </c>
      <c r="D160" s="12" t="str">
        <f t="shared" si="12"/>
        <v/>
      </c>
      <c r="E160" s="17" t="str">
        <f t="shared" si="17"/>
        <v/>
      </c>
      <c r="F160" s="12" t="str">
        <f t="shared" si="14"/>
        <v/>
      </c>
      <c r="G160" s="13" t="str">
        <f t="shared" si="15"/>
        <v/>
      </c>
      <c r="H160" s="13" t="str">
        <f t="shared" si="16"/>
        <v/>
      </c>
    </row>
    <row r="161" spans="2:8" x14ac:dyDescent="0.3">
      <c r="B161" t="str">
        <f t="shared" si="13"/>
        <v/>
      </c>
      <c r="C161" s="13" t="str">
        <f>IF(A161="","",VLOOKUP(A161,YF_Spot[#All],5,))</f>
        <v/>
      </c>
      <c r="D161" s="12" t="str">
        <f t="shared" si="12"/>
        <v/>
      </c>
      <c r="E161" s="17" t="str">
        <f t="shared" si="17"/>
        <v/>
      </c>
      <c r="F161" s="12" t="str">
        <f t="shared" si="14"/>
        <v/>
      </c>
      <c r="G161" s="13" t="str">
        <f t="shared" si="15"/>
        <v/>
      </c>
      <c r="H161" s="13" t="str">
        <f t="shared" si="16"/>
        <v/>
      </c>
    </row>
    <row r="162" spans="2:8" x14ac:dyDescent="0.3">
      <c r="B162" t="str">
        <f t="shared" si="13"/>
        <v/>
      </c>
      <c r="C162" s="13" t="str">
        <f>IF(A162="","",VLOOKUP(A162,YF_Spot[#All],5,))</f>
        <v/>
      </c>
      <c r="D162" s="12" t="str">
        <f t="shared" si="12"/>
        <v/>
      </c>
      <c r="E162" s="17" t="str">
        <f t="shared" si="17"/>
        <v/>
      </c>
      <c r="F162" s="12" t="str">
        <f t="shared" si="14"/>
        <v/>
      </c>
      <c r="G162" s="13" t="str">
        <f t="shared" si="15"/>
        <v/>
      </c>
      <c r="H162" s="13" t="str">
        <f t="shared" si="16"/>
        <v/>
      </c>
    </row>
    <row r="163" spans="2:8" x14ac:dyDescent="0.3">
      <c r="B163" t="str">
        <f t="shared" si="13"/>
        <v/>
      </c>
      <c r="C163" s="13" t="str">
        <f>IF(A163="","",VLOOKUP(A163,YF_Spot[#All],5,))</f>
        <v/>
      </c>
      <c r="D163" s="12" t="str">
        <f t="shared" si="12"/>
        <v/>
      </c>
      <c r="E163" s="17" t="str">
        <f t="shared" si="17"/>
        <v/>
      </c>
      <c r="F163" s="12" t="str">
        <f t="shared" si="14"/>
        <v/>
      </c>
      <c r="G163" s="13" t="str">
        <f t="shared" si="15"/>
        <v/>
      </c>
      <c r="H163" s="13" t="str">
        <f t="shared" si="16"/>
        <v/>
      </c>
    </row>
    <row r="164" spans="2:8" x14ac:dyDescent="0.3">
      <c r="B164" t="str">
        <f t="shared" si="13"/>
        <v/>
      </c>
      <c r="C164" s="13" t="str">
        <f>IF(A164="","",VLOOKUP(A164,YF_Spot[#All],5,))</f>
        <v/>
      </c>
      <c r="D164" s="12" t="str">
        <f t="shared" ref="D164:D200" si="18">IF(A164="","",LN(C164/C163))</f>
        <v/>
      </c>
      <c r="E164" s="17" t="str">
        <f t="shared" si="17"/>
        <v/>
      </c>
      <c r="F164" s="12" t="str">
        <f t="shared" si="14"/>
        <v/>
      </c>
      <c r="G164" s="13" t="str">
        <f t="shared" si="15"/>
        <v/>
      </c>
      <c r="H164" s="13" t="str">
        <f t="shared" si="16"/>
        <v/>
      </c>
    </row>
    <row r="165" spans="2:8" x14ac:dyDescent="0.3">
      <c r="B165" t="str">
        <f t="shared" si="13"/>
        <v/>
      </c>
      <c r="C165" s="13" t="str">
        <f>IF(A165="","",VLOOKUP(A165,YF_Spot[#All],5,))</f>
        <v/>
      </c>
      <c r="D165" s="12" t="str">
        <f t="shared" si="18"/>
        <v/>
      </c>
      <c r="E165" s="17" t="str">
        <f t="shared" si="17"/>
        <v/>
      </c>
      <c r="F165" s="12" t="str">
        <f t="shared" si="14"/>
        <v/>
      </c>
      <c r="G165" s="13" t="str">
        <f t="shared" si="15"/>
        <v/>
      </c>
      <c r="H165" s="13" t="str">
        <f t="shared" si="16"/>
        <v/>
      </c>
    </row>
    <row r="166" spans="2:8" x14ac:dyDescent="0.3">
      <c r="B166" t="str">
        <f t="shared" si="13"/>
        <v/>
      </c>
      <c r="C166" s="13" t="str">
        <f>IF(A166="","",VLOOKUP(A166,YF_Spot[#All],5,))</f>
        <v/>
      </c>
      <c r="D166" s="12" t="str">
        <f t="shared" si="18"/>
        <v/>
      </c>
      <c r="E166" s="17" t="str">
        <f t="shared" si="17"/>
        <v/>
      </c>
      <c r="F166" s="12" t="str">
        <f t="shared" si="14"/>
        <v/>
      </c>
      <c r="G166" s="13" t="str">
        <f t="shared" si="15"/>
        <v/>
      </c>
      <c r="H166" s="13" t="str">
        <f t="shared" si="16"/>
        <v/>
      </c>
    </row>
    <row r="167" spans="2:8" x14ac:dyDescent="0.3">
      <c r="B167" t="str">
        <f t="shared" si="13"/>
        <v/>
      </c>
      <c r="C167" s="13" t="str">
        <f>IF(A167="","",VLOOKUP(A167,YF_Spot[#All],5,))</f>
        <v/>
      </c>
      <c r="D167" s="12" t="str">
        <f t="shared" si="18"/>
        <v/>
      </c>
      <c r="E167" s="17" t="str">
        <f t="shared" si="17"/>
        <v/>
      </c>
      <c r="F167" s="12" t="str">
        <f t="shared" si="14"/>
        <v/>
      </c>
      <c r="G167" s="13" t="str">
        <f t="shared" si="15"/>
        <v/>
      </c>
      <c r="H167" s="13" t="str">
        <f t="shared" si="16"/>
        <v/>
      </c>
    </row>
    <row r="168" spans="2:8" x14ac:dyDescent="0.3">
      <c r="B168" t="str">
        <f t="shared" si="13"/>
        <v/>
      </c>
      <c r="C168" s="13" t="str">
        <f>IF(A168="","",VLOOKUP(A168,YF_Spot[#All],5,))</f>
        <v/>
      </c>
      <c r="D168" s="12" t="str">
        <f t="shared" si="18"/>
        <v/>
      </c>
      <c r="E168" s="17" t="str">
        <f t="shared" si="17"/>
        <v/>
      </c>
      <c r="F168" s="12" t="str">
        <f t="shared" si="14"/>
        <v/>
      </c>
      <c r="G168" s="13" t="str">
        <f t="shared" si="15"/>
        <v/>
      </c>
      <c r="H168" s="13" t="str">
        <f t="shared" si="16"/>
        <v/>
      </c>
    </row>
    <row r="169" spans="2:8" x14ac:dyDescent="0.3">
      <c r="B169" t="str">
        <f t="shared" si="13"/>
        <v/>
      </c>
      <c r="C169" s="13" t="str">
        <f>IF(A169="","",VLOOKUP(A169,YF_Spot[#All],5,))</f>
        <v/>
      </c>
      <c r="D169" s="12" t="str">
        <f t="shared" si="18"/>
        <v/>
      </c>
      <c r="E169" s="17" t="str">
        <f t="shared" si="17"/>
        <v/>
      </c>
      <c r="F169" s="12" t="str">
        <f t="shared" si="14"/>
        <v/>
      </c>
      <c r="G169" s="13" t="str">
        <f t="shared" si="15"/>
        <v/>
      </c>
      <c r="H169" s="13" t="str">
        <f t="shared" si="16"/>
        <v/>
      </c>
    </row>
    <row r="170" spans="2:8" x14ac:dyDescent="0.3">
      <c r="B170" t="str">
        <f t="shared" si="13"/>
        <v/>
      </c>
      <c r="C170" s="13" t="str">
        <f>IF(A170="","",VLOOKUP(A170,YF_Spot[#All],5,))</f>
        <v/>
      </c>
      <c r="D170" s="12" t="str">
        <f t="shared" si="18"/>
        <v/>
      </c>
      <c r="E170" s="17" t="str">
        <f t="shared" si="17"/>
        <v/>
      </c>
      <c r="F170" s="12" t="str">
        <f t="shared" si="14"/>
        <v/>
      </c>
      <c r="G170" s="13" t="str">
        <f t="shared" si="15"/>
        <v/>
      </c>
      <c r="H170" s="13" t="str">
        <f t="shared" si="16"/>
        <v/>
      </c>
    </row>
    <row r="171" spans="2:8" x14ac:dyDescent="0.3">
      <c r="B171" t="str">
        <f t="shared" si="13"/>
        <v/>
      </c>
      <c r="C171" s="13" t="str">
        <f>IF(A171="","",VLOOKUP(A171,YF_Spot[#All],5,))</f>
        <v/>
      </c>
      <c r="D171" s="12" t="str">
        <f t="shared" si="18"/>
        <v/>
      </c>
      <c r="E171" s="17" t="str">
        <f t="shared" si="17"/>
        <v/>
      </c>
      <c r="F171" s="12" t="str">
        <f t="shared" si="14"/>
        <v/>
      </c>
      <c r="G171" s="13" t="str">
        <f t="shared" si="15"/>
        <v/>
      </c>
      <c r="H171" s="13" t="str">
        <f t="shared" si="16"/>
        <v/>
      </c>
    </row>
    <row r="172" spans="2:8" x14ac:dyDescent="0.3">
      <c r="B172" t="str">
        <f t="shared" si="13"/>
        <v/>
      </c>
      <c r="C172" s="13" t="str">
        <f>IF(A172="","",VLOOKUP(A172,YF_Spot[#All],5,))</f>
        <v/>
      </c>
      <c r="D172" s="12" t="str">
        <f t="shared" si="18"/>
        <v/>
      </c>
      <c r="E172" s="17" t="str">
        <f t="shared" si="17"/>
        <v/>
      </c>
      <c r="F172" s="12" t="str">
        <f t="shared" si="14"/>
        <v/>
      </c>
      <c r="G172" s="13" t="str">
        <f t="shared" si="15"/>
        <v/>
      </c>
      <c r="H172" s="13" t="str">
        <f t="shared" si="16"/>
        <v/>
      </c>
    </row>
    <row r="173" spans="2:8" x14ac:dyDescent="0.3">
      <c r="B173" t="str">
        <f t="shared" si="13"/>
        <v/>
      </c>
      <c r="C173" s="13" t="str">
        <f>IF(A173="","",VLOOKUP(A173,YF_Spot[#All],5,))</f>
        <v/>
      </c>
      <c r="D173" s="12" t="str">
        <f t="shared" si="18"/>
        <v/>
      </c>
      <c r="E173" s="17" t="str">
        <f t="shared" si="17"/>
        <v/>
      </c>
      <c r="F173" s="12" t="str">
        <f t="shared" si="14"/>
        <v/>
      </c>
      <c r="G173" s="13" t="str">
        <f t="shared" si="15"/>
        <v/>
      </c>
      <c r="H173" s="13" t="str">
        <f t="shared" si="16"/>
        <v/>
      </c>
    </row>
    <row r="174" spans="2:8" x14ac:dyDescent="0.3">
      <c r="B174" t="str">
        <f t="shared" si="13"/>
        <v/>
      </c>
      <c r="C174" s="13" t="str">
        <f>IF(A174="","",VLOOKUP(A174,YF_Spot[#All],5,))</f>
        <v/>
      </c>
      <c r="D174" s="12" t="str">
        <f t="shared" si="18"/>
        <v/>
      </c>
      <c r="E174" s="17" t="str">
        <f t="shared" si="17"/>
        <v/>
      </c>
      <c r="F174" s="12" t="str">
        <f t="shared" si="14"/>
        <v/>
      </c>
      <c r="G174" s="13" t="str">
        <f t="shared" si="15"/>
        <v/>
      </c>
      <c r="H174" s="13" t="str">
        <f t="shared" si="16"/>
        <v/>
      </c>
    </row>
    <row r="175" spans="2:8" x14ac:dyDescent="0.3">
      <c r="B175" t="str">
        <f t="shared" si="13"/>
        <v/>
      </c>
      <c r="C175" s="13" t="str">
        <f>IF(A175="","",VLOOKUP(A175,YF_Spot[#All],5,))</f>
        <v/>
      </c>
      <c r="D175" s="12" t="str">
        <f t="shared" si="18"/>
        <v/>
      </c>
      <c r="E175" s="17" t="str">
        <f t="shared" si="17"/>
        <v/>
      </c>
      <c r="F175" s="12" t="str">
        <f t="shared" si="14"/>
        <v/>
      </c>
      <c r="G175" s="13" t="str">
        <f t="shared" si="15"/>
        <v/>
      </c>
      <c r="H175" s="13" t="str">
        <f t="shared" si="16"/>
        <v/>
      </c>
    </row>
    <row r="176" spans="2:8" x14ac:dyDescent="0.3">
      <c r="B176" t="str">
        <f t="shared" si="13"/>
        <v/>
      </c>
      <c r="C176" s="13" t="str">
        <f>IF(A176="","",VLOOKUP(A176,YF_Spot[#All],5,))</f>
        <v/>
      </c>
      <c r="D176" s="12" t="str">
        <f t="shared" si="18"/>
        <v/>
      </c>
      <c r="E176" s="17" t="str">
        <f t="shared" si="17"/>
        <v/>
      </c>
      <c r="F176" s="12" t="str">
        <f t="shared" si="14"/>
        <v/>
      </c>
      <c r="G176" s="13" t="str">
        <f t="shared" si="15"/>
        <v/>
      </c>
      <c r="H176" s="13" t="str">
        <f t="shared" si="16"/>
        <v/>
      </c>
    </row>
    <row r="177" spans="2:8" x14ac:dyDescent="0.3">
      <c r="B177" t="str">
        <f t="shared" si="13"/>
        <v/>
      </c>
      <c r="C177" s="13" t="str">
        <f>IF(A177="","",VLOOKUP(A177,YF_Spot[#All],5,))</f>
        <v/>
      </c>
      <c r="D177" s="12" t="str">
        <f t="shared" si="18"/>
        <v/>
      </c>
      <c r="E177" s="17" t="str">
        <f t="shared" si="17"/>
        <v/>
      </c>
      <c r="F177" s="12" t="str">
        <f t="shared" si="14"/>
        <v/>
      </c>
      <c r="G177" s="13" t="str">
        <f t="shared" si="15"/>
        <v/>
      </c>
      <c r="H177" s="13" t="str">
        <f t="shared" si="16"/>
        <v/>
      </c>
    </row>
    <row r="178" spans="2:8" x14ac:dyDescent="0.3">
      <c r="B178" t="str">
        <f t="shared" si="13"/>
        <v/>
      </c>
      <c r="C178" s="13" t="str">
        <f>IF(A178="","",VLOOKUP(A178,YF_Spot[#All],5,))</f>
        <v/>
      </c>
      <c r="D178" s="12" t="str">
        <f t="shared" si="18"/>
        <v/>
      </c>
      <c r="E178" s="17" t="str">
        <f t="shared" si="17"/>
        <v/>
      </c>
      <c r="F178" s="12" t="str">
        <f t="shared" si="14"/>
        <v/>
      </c>
      <c r="G178" s="13" t="str">
        <f t="shared" si="15"/>
        <v/>
      </c>
      <c r="H178" s="13" t="str">
        <f t="shared" si="16"/>
        <v/>
      </c>
    </row>
    <row r="179" spans="2:8" x14ac:dyDescent="0.3">
      <c r="B179" t="str">
        <f t="shared" si="13"/>
        <v/>
      </c>
      <c r="C179" s="13" t="str">
        <f>IF(A179="","",VLOOKUP(A179,YF_Spot[#All],5,))</f>
        <v/>
      </c>
      <c r="D179" s="12" t="str">
        <f t="shared" si="18"/>
        <v/>
      </c>
      <c r="E179" s="17" t="str">
        <f t="shared" si="17"/>
        <v/>
      </c>
      <c r="F179" s="12" t="str">
        <f t="shared" si="14"/>
        <v/>
      </c>
      <c r="G179" s="13" t="str">
        <f t="shared" si="15"/>
        <v/>
      </c>
      <c r="H179" s="13" t="str">
        <f t="shared" si="16"/>
        <v/>
      </c>
    </row>
    <row r="180" spans="2:8" x14ac:dyDescent="0.3">
      <c r="B180" t="str">
        <f t="shared" si="13"/>
        <v/>
      </c>
      <c r="C180" s="13" t="str">
        <f>IF(A180="","",VLOOKUP(A180,YF_Spot[#All],5,))</f>
        <v/>
      </c>
      <c r="D180" s="12" t="str">
        <f t="shared" si="18"/>
        <v/>
      </c>
      <c r="E180" s="17" t="str">
        <f t="shared" si="17"/>
        <v/>
      </c>
      <c r="F180" s="12" t="str">
        <f t="shared" si="14"/>
        <v/>
      </c>
      <c r="G180" s="13" t="str">
        <f t="shared" si="15"/>
        <v/>
      </c>
      <c r="H180" s="13" t="str">
        <f t="shared" si="16"/>
        <v/>
      </c>
    </row>
    <row r="181" spans="2:8" x14ac:dyDescent="0.3">
      <c r="B181" t="str">
        <f t="shared" si="13"/>
        <v/>
      </c>
      <c r="C181" s="13" t="str">
        <f>IF(A181="","",VLOOKUP(A181,YF_Spot[#All],5,))</f>
        <v/>
      </c>
      <c r="D181" s="12" t="str">
        <f t="shared" si="18"/>
        <v/>
      </c>
      <c r="E181" s="17" t="str">
        <f t="shared" si="17"/>
        <v/>
      </c>
      <c r="F181" s="12" t="str">
        <f t="shared" si="14"/>
        <v/>
      </c>
      <c r="G181" s="13" t="str">
        <f t="shared" si="15"/>
        <v/>
      </c>
      <c r="H181" s="13" t="str">
        <f t="shared" si="16"/>
        <v/>
      </c>
    </row>
    <row r="182" spans="2:8" x14ac:dyDescent="0.3">
      <c r="B182" t="str">
        <f t="shared" si="13"/>
        <v/>
      </c>
      <c r="C182" s="13" t="str">
        <f>IF(A182="","",VLOOKUP(A182,YF_Spot[#All],5,))</f>
        <v/>
      </c>
      <c r="D182" s="12" t="str">
        <f t="shared" si="18"/>
        <v/>
      </c>
      <c r="E182" s="17" t="str">
        <f t="shared" si="17"/>
        <v/>
      </c>
      <c r="F182" s="12" t="str">
        <f t="shared" si="14"/>
        <v/>
      </c>
      <c r="G182" s="13" t="str">
        <f t="shared" si="15"/>
        <v/>
      </c>
      <c r="H182" s="13" t="str">
        <f t="shared" si="16"/>
        <v/>
      </c>
    </row>
    <row r="183" spans="2:8" x14ac:dyDescent="0.3">
      <c r="B183" t="str">
        <f t="shared" si="13"/>
        <v/>
      </c>
      <c r="C183" s="13" t="str">
        <f>IF(A183="","",VLOOKUP(A183,YF_Spot[#All],5,))</f>
        <v/>
      </c>
      <c r="D183" s="12" t="str">
        <f t="shared" si="18"/>
        <v/>
      </c>
      <c r="E183" s="17" t="str">
        <f t="shared" si="17"/>
        <v/>
      </c>
      <c r="F183" s="12" t="str">
        <f t="shared" si="14"/>
        <v/>
      </c>
      <c r="G183" s="13" t="str">
        <f t="shared" si="15"/>
        <v/>
      </c>
      <c r="H183" s="13" t="str">
        <f t="shared" si="16"/>
        <v/>
      </c>
    </row>
    <row r="184" spans="2:8" x14ac:dyDescent="0.3">
      <c r="B184" t="str">
        <f t="shared" si="13"/>
        <v/>
      </c>
      <c r="C184" s="13" t="str">
        <f>IF(A184="","",VLOOKUP(A184,YF_Spot[#All],5,))</f>
        <v/>
      </c>
      <c r="D184" s="12" t="str">
        <f t="shared" si="18"/>
        <v/>
      </c>
      <c r="E184" s="17" t="str">
        <f t="shared" si="17"/>
        <v/>
      </c>
      <c r="F184" s="12" t="str">
        <f t="shared" si="14"/>
        <v/>
      </c>
      <c r="G184" s="13" t="str">
        <f t="shared" si="15"/>
        <v/>
      </c>
      <c r="H184" s="13" t="str">
        <f t="shared" si="16"/>
        <v/>
      </c>
    </row>
    <row r="185" spans="2:8" x14ac:dyDescent="0.3">
      <c r="B185" t="str">
        <f t="shared" si="13"/>
        <v/>
      </c>
      <c r="C185" s="13" t="str">
        <f>IF(A185="","",VLOOKUP(A185,YF_Spot[#All],5,))</f>
        <v/>
      </c>
      <c r="D185" s="12" t="str">
        <f t="shared" si="18"/>
        <v/>
      </c>
      <c r="E185" s="17" t="str">
        <f t="shared" si="17"/>
        <v/>
      </c>
      <c r="F185" s="12" t="str">
        <f t="shared" si="14"/>
        <v/>
      </c>
      <c r="G185" s="13" t="str">
        <f t="shared" si="15"/>
        <v/>
      </c>
      <c r="H185" s="13" t="str">
        <f t="shared" si="16"/>
        <v/>
      </c>
    </row>
    <row r="186" spans="2:8" x14ac:dyDescent="0.3">
      <c r="B186" t="str">
        <f t="shared" si="13"/>
        <v/>
      </c>
      <c r="C186" s="13" t="str">
        <f>IF(A186="","",VLOOKUP(A186,YF_Spot[#All],5,))</f>
        <v/>
      </c>
      <c r="D186" s="12" t="str">
        <f t="shared" si="18"/>
        <v/>
      </c>
      <c r="E186" s="17" t="str">
        <f t="shared" si="17"/>
        <v/>
      </c>
      <c r="F186" s="12" t="str">
        <f t="shared" si="14"/>
        <v/>
      </c>
      <c r="G186" s="13" t="str">
        <f t="shared" si="15"/>
        <v/>
      </c>
      <c r="H186" s="13" t="str">
        <f t="shared" si="16"/>
        <v/>
      </c>
    </row>
    <row r="187" spans="2:8" x14ac:dyDescent="0.3">
      <c r="B187" t="str">
        <f t="shared" si="13"/>
        <v/>
      </c>
      <c r="C187" s="13" t="str">
        <f>IF(A187="","",VLOOKUP(A187,YF_Spot[#All],5,))</f>
        <v/>
      </c>
      <c r="D187" s="12" t="str">
        <f t="shared" si="18"/>
        <v/>
      </c>
      <c r="E187" s="17" t="str">
        <f t="shared" si="17"/>
        <v/>
      </c>
      <c r="F187" s="12" t="str">
        <f t="shared" si="14"/>
        <v/>
      </c>
      <c r="G187" s="13" t="str">
        <f t="shared" si="15"/>
        <v/>
      </c>
      <c r="H187" s="13" t="str">
        <f t="shared" si="16"/>
        <v/>
      </c>
    </row>
    <row r="188" spans="2:8" x14ac:dyDescent="0.3">
      <c r="B188" t="str">
        <f t="shared" si="13"/>
        <v/>
      </c>
      <c r="C188" s="13" t="str">
        <f>IF(A188="","",VLOOKUP(A188,YF_Spot[#All],5,))</f>
        <v/>
      </c>
      <c r="D188" s="12" t="str">
        <f t="shared" si="18"/>
        <v/>
      </c>
      <c r="E188" s="17" t="str">
        <f t="shared" si="17"/>
        <v/>
      </c>
      <c r="F188" s="12" t="str">
        <f t="shared" si="14"/>
        <v/>
      </c>
      <c r="G188" s="13" t="str">
        <f t="shared" si="15"/>
        <v/>
      </c>
      <c r="H188" s="13" t="str">
        <f t="shared" si="16"/>
        <v/>
      </c>
    </row>
    <row r="189" spans="2:8" x14ac:dyDescent="0.3">
      <c r="B189" t="str">
        <f t="shared" si="13"/>
        <v/>
      </c>
      <c r="C189" s="13" t="str">
        <f>IF(A189="","",VLOOKUP(A189,YF_Spot[#All],5,))</f>
        <v/>
      </c>
      <c r="D189" s="12" t="str">
        <f t="shared" si="18"/>
        <v/>
      </c>
      <c r="E189" s="17" t="str">
        <f t="shared" si="17"/>
        <v/>
      </c>
      <c r="F189" s="12" t="str">
        <f t="shared" si="14"/>
        <v/>
      </c>
      <c r="G189" s="13" t="str">
        <f t="shared" si="15"/>
        <v/>
      </c>
      <c r="H189" s="13" t="str">
        <f t="shared" si="16"/>
        <v/>
      </c>
    </row>
    <row r="190" spans="2:8" x14ac:dyDescent="0.3">
      <c r="B190" t="str">
        <f t="shared" si="13"/>
        <v/>
      </c>
      <c r="C190" s="13" t="str">
        <f>IF(A190="","",VLOOKUP(A190,YF_Spot[#All],5,))</f>
        <v/>
      </c>
      <c r="D190" s="12" t="str">
        <f t="shared" si="18"/>
        <v/>
      </c>
      <c r="E190" s="17" t="str">
        <f t="shared" si="17"/>
        <v/>
      </c>
      <c r="F190" s="12" t="str">
        <f t="shared" si="14"/>
        <v/>
      </c>
      <c r="G190" s="13" t="str">
        <f t="shared" si="15"/>
        <v/>
      </c>
      <c r="H190" s="13" t="str">
        <f t="shared" si="16"/>
        <v/>
      </c>
    </row>
    <row r="191" spans="2:8" x14ac:dyDescent="0.3">
      <c r="B191" t="str">
        <f t="shared" si="13"/>
        <v/>
      </c>
      <c r="C191" s="13" t="str">
        <f>IF(A191="","",VLOOKUP(A191,YF_Spot[#All],5,))</f>
        <v/>
      </c>
      <c r="D191" s="12" t="str">
        <f t="shared" si="18"/>
        <v/>
      </c>
      <c r="E191" s="17" t="str">
        <f t="shared" si="17"/>
        <v/>
      </c>
      <c r="F191" s="12" t="str">
        <f t="shared" si="14"/>
        <v/>
      </c>
      <c r="G191" s="13" t="str">
        <f t="shared" si="15"/>
        <v/>
      </c>
      <c r="H191" s="13" t="str">
        <f t="shared" si="16"/>
        <v/>
      </c>
    </row>
    <row r="192" spans="2:8" x14ac:dyDescent="0.3">
      <c r="B192" t="str">
        <f t="shared" si="13"/>
        <v/>
      </c>
      <c r="C192" s="13" t="str">
        <f>IF(A192="","",VLOOKUP(A192,YF_Spot[#All],5,))</f>
        <v/>
      </c>
      <c r="D192" s="12" t="str">
        <f t="shared" si="18"/>
        <v/>
      </c>
      <c r="E192" s="17" t="str">
        <f t="shared" si="17"/>
        <v/>
      </c>
      <c r="F192" s="12" t="str">
        <f t="shared" si="14"/>
        <v/>
      </c>
      <c r="G192" s="13" t="str">
        <f t="shared" si="15"/>
        <v/>
      </c>
      <c r="H192" s="13" t="str">
        <f t="shared" si="16"/>
        <v/>
      </c>
    </row>
    <row r="193" spans="1:8" x14ac:dyDescent="0.3">
      <c r="B193" t="str">
        <f t="shared" si="13"/>
        <v/>
      </c>
      <c r="C193" s="13" t="str">
        <f>IF(A193="","",VLOOKUP(A193,YF_Spot[#All],5,))</f>
        <v/>
      </c>
      <c r="D193" s="12" t="str">
        <f t="shared" si="18"/>
        <v/>
      </c>
      <c r="E193" s="17" t="str">
        <f t="shared" si="17"/>
        <v/>
      </c>
      <c r="F193" s="12" t="str">
        <f t="shared" si="14"/>
        <v/>
      </c>
      <c r="G193" s="13" t="str">
        <f t="shared" si="15"/>
        <v/>
      </c>
      <c r="H193" s="13" t="str">
        <f t="shared" si="16"/>
        <v/>
      </c>
    </row>
    <row r="194" spans="1:8" x14ac:dyDescent="0.3">
      <c r="B194" t="str">
        <f t="shared" si="13"/>
        <v/>
      </c>
      <c r="C194" s="13" t="str">
        <f>IF(A194="","",VLOOKUP(A194,YF_Spot[#All],5,))</f>
        <v/>
      </c>
      <c r="D194" s="12" t="str">
        <f t="shared" si="18"/>
        <v/>
      </c>
      <c r="E194" s="17" t="str">
        <f t="shared" si="17"/>
        <v/>
      </c>
      <c r="F194" s="12" t="str">
        <f t="shared" si="14"/>
        <v/>
      </c>
      <c r="G194" s="13" t="str">
        <f t="shared" si="15"/>
        <v/>
      </c>
      <c r="H194" s="13" t="str">
        <f t="shared" si="16"/>
        <v/>
      </c>
    </row>
    <row r="195" spans="1:8" x14ac:dyDescent="0.3">
      <c r="B195" t="str">
        <f t="shared" ref="B195:B200" si="19">IF(A195="","",_xlfn.RANK.EQ(A195,A:A,0))</f>
        <v/>
      </c>
      <c r="C195" s="13" t="str">
        <f>IF(A195="","",VLOOKUP(A195,YF_Spot[#All],5,))</f>
        <v/>
      </c>
      <c r="D195" s="12" t="str">
        <f t="shared" si="18"/>
        <v/>
      </c>
      <c r="E195" s="17" t="str">
        <f t="shared" si="17"/>
        <v/>
      </c>
      <c r="F195" s="12" t="str">
        <f t="shared" si="14"/>
        <v/>
      </c>
      <c r="G195" s="13" t="str">
        <f t="shared" si="15"/>
        <v/>
      </c>
      <c r="H195" s="13" t="str">
        <f t="shared" si="16"/>
        <v/>
      </c>
    </row>
    <row r="196" spans="1:8" x14ac:dyDescent="0.3">
      <c r="B196" t="str">
        <f t="shared" si="19"/>
        <v/>
      </c>
      <c r="C196" s="13" t="str">
        <f>IF(A196="","",VLOOKUP(A196,YF_Spot[#All],5,))</f>
        <v/>
      </c>
      <c r="D196" s="12" t="str">
        <f t="shared" si="18"/>
        <v/>
      </c>
      <c r="E196" s="17" t="str">
        <f t="shared" si="17"/>
        <v/>
      </c>
      <c r="F196" s="12" t="str">
        <f t="shared" ref="F196:F200" si="20">IF(A196="","",SQRT(E196))</f>
        <v/>
      </c>
      <c r="G196" s="13" t="str">
        <f t="shared" ref="G196:G200" si="21">IF(A196="","",C196*(1-2*F196))</f>
        <v/>
      </c>
      <c r="H196" s="13" t="str">
        <f t="shared" ref="H196:H200" si="22">IF(A196="","",C196*(1+2*F196))</f>
        <v/>
      </c>
    </row>
    <row r="197" spans="1:8" x14ac:dyDescent="0.3">
      <c r="B197" t="str">
        <f t="shared" si="19"/>
        <v/>
      </c>
      <c r="C197" s="13" t="str">
        <f>IF(A197="","",VLOOKUP(A197,YF_Spot[#All],5,))</f>
        <v/>
      </c>
      <c r="D197" s="12" t="str">
        <f t="shared" si="18"/>
        <v/>
      </c>
      <c r="E197" s="17" t="str">
        <f t="shared" ref="E197:E200" si="23">IF(A197="","",$P$1*E196+(1-$P$1)*D196^2)</f>
        <v/>
      </c>
      <c r="F197" s="12" t="str">
        <f t="shared" si="20"/>
        <v/>
      </c>
      <c r="G197" s="13" t="str">
        <f t="shared" si="21"/>
        <v/>
      </c>
      <c r="H197" s="13" t="str">
        <f t="shared" si="22"/>
        <v/>
      </c>
    </row>
    <row r="198" spans="1:8" x14ac:dyDescent="0.3">
      <c r="B198" t="str">
        <f t="shared" si="19"/>
        <v/>
      </c>
      <c r="C198" s="13" t="str">
        <f>IF(A198="","",VLOOKUP(A198,YF_Spot[#All],5,))</f>
        <v/>
      </c>
      <c r="D198" s="12" t="str">
        <f t="shared" si="18"/>
        <v/>
      </c>
      <c r="E198" s="17" t="str">
        <f t="shared" si="23"/>
        <v/>
      </c>
      <c r="F198" s="12" t="str">
        <f t="shared" si="20"/>
        <v/>
      </c>
      <c r="G198" s="13" t="str">
        <f t="shared" si="21"/>
        <v/>
      </c>
      <c r="H198" s="13" t="str">
        <f t="shared" si="22"/>
        <v/>
      </c>
    </row>
    <row r="199" spans="1:8" x14ac:dyDescent="0.3">
      <c r="B199" t="str">
        <f t="shared" si="19"/>
        <v/>
      </c>
      <c r="C199" s="13" t="str">
        <f>IF(A199="","",VLOOKUP(A199,YF_Spot[#All],5,))</f>
        <v/>
      </c>
      <c r="D199" s="12" t="str">
        <f t="shared" si="18"/>
        <v/>
      </c>
      <c r="E199" s="17" t="str">
        <f t="shared" si="23"/>
        <v/>
      </c>
      <c r="F199" s="12" t="str">
        <f t="shared" si="20"/>
        <v/>
      </c>
      <c r="G199" s="13" t="str">
        <f t="shared" si="21"/>
        <v/>
      </c>
      <c r="H199" s="13" t="str">
        <f t="shared" si="22"/>
        <v/>
      </c>
    </row>
    <row r="200" spans="1:8" x14ac:dyDescent="0.3">
      <c r="A200" s="14"/>
      <c r="B200" s="15" t="str">
        <f t="shared" si="19"/>
        <v/>
      </c>
      <c r="C200" s="33" t="str">
        <f>IF(A200="","",VLOOKUP(A200,YF_Spot[#All],5,))</f>
        <v/>
      </c>
      <c r="D200" s="16" t="str">
        <f t="shared" si="18"/>
        <v/>
      </c>
      <c r="E200" s="17" t="str">
        <f t="shared" si="23"/>
        <v/>
      </c>
      <c r="F200" s="12" t="str">
        <f t="shared" si="20"/>
        <v/>
      </c>
      <c r="G200" s="13" t="str">
        <f t="shared" si="21"/>
        <v/>
      </c>
      <c r="H200" s="13" t="str">
        <f t="shared" si="22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82B280-9EC1-4C41-A779-D1F19F7A9209}">
  <sheetPr codeName="Sheet7">
    <tabColor rgb="FF0070C0"/>
  </sheetPr>
  <dimension ref="A1:K9"/>
  <sheetViews>
    <sheetView showGridLines="0" workbookViewId="0"/>
  </sheetViews>
  <sheetFormatPr defaultRowHeight="14.4" x14ac:dyDescent="0.3"/>
  <cols>
    <col min="1" max="1" width="19.109375" bestFit="1" customWidth="1"/>
    <col min="2" max="2" width="21.77734375" bestFit="1" customWidth="1"/>
    <col min="3" max="3" width="8" bestFit="1" customWidth="1"/>
    <col min="4" max="4" width="11.109375" bestFit="1" customWidth="1"/>
    <col min="5" max="5" width="5.88671875" bestFit="1" customWidth="1"/>
    <col min="6" max="6" width="6.21875" bestFit="1" customWidth="1"/>
    <col min="7" max="7" width="9.5546875" bestFit="1" customWidth="1"/>
    <col min="8" max="8" width="11.44140625" bestFit="1" customWidth="1"/>
    <col min="9" max="9" width="9.77734375" bestFit="1" customWidth="1"/>
    <col min="10" max="10" width="14.6640625" bestFit="1" customWidth="1"/>
    <col min="11" max="11" width="17.5546875" bestFit="1" customWidth="1"/>
  </cols>
  <sheetData>
    <row r="1" spans="1:11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6</v>
      </c>
      <c r="J1" t="s">
        <v>33</v>
      </c>
      <c r="K1" t="s">
        <v>34</v>
      </c>
    </row>
    <row r="2" spans="1:11" x14ac:dyDescent="0.3">
      <c r="A2" s="2" t="s">
        <v>73</v>
      </c>
      <c r="B2" s="2" t="s">
        <v>74</v>
      </c>
      <c r="C2">
        <v>12.5</v>
      </c>
      <c r="D2">
        <v>0.5</v>
      </c>
      <c r="E2">
        <v>0.4</v>
      </c>
      <c r="F2">
        <v>0.55000000000000004</v>
      </c>
      <c r="G2">
        <v>0.12</v>
      </c>
      <c r="H2" s="2" t="s">
        <v>75</v>
      </c>
      <c r="I2" s="2" t="s">
        <v>76</v>
      </c>
      <c r="J2">
        <v>2180</v>
      </c>
      <c r="K2">
        <v>0.5625</v>
      </c>
    </row>
    <row r="3" spans="1:11" x14ac:dyDescent="0.3">
      <c r="A3" s="2" t="s">
        <v>77</v>
      </c>
      <c r="B3" s="2" t="s">
        <v>78</v>
      </c>
      <c r="C3">
        <v>15</v>
      </c>
      <c r="D3">
        <v>0.05</v>
      </c>
      <c r="E3">
        <v>0</v>
      </c>
      <c r="F3">
        <v>0.05</v>
      </c>
      <c r="G3">
        <v>0</v>
      </c>
      <c r="H3" s="2" t="s">
        <v>37</v>
      </c>
      <c r="I3" s="2" t="s">
        <v>79</v>
      </c>
      <c r="J3">
        <v>704</v>
      </c>
      <c r="K3">
        <v>0.78129999999999999</v>
      </c>
    </row>
    <row r="4" spans="1:11" x14ac:dyDescent="0.3">
      <c r="A4" s="2" t="s">
        <v>69</v>
      </c>
      <c r="B4" s="2" t="s">
        <v>70</v>
      </c>
      <c r="C4">
        <v>10</v>
      </c>
      <c r="D4">
        <v>3</v>
      </c>
      <c r="E4">
        <v>2.8</v>
      </c>
      <c r="F4">
        <v>2.95</v>
      </c>
      <c r="G4">
        <v>0.28000000000000003</v>
      </c>
      <c r="H4" s="2" t="s">
        <v>71</v>
      </c>
      <c r="I4" s="2" t="s">
        <v>72</v>
      </c>
      <c r="J4">
        <v>119</v>
      </c>
      <c r="K4">
        <v>0.9375</v>
      </c>
    </row>
    <row r="5" spans="1:11" x14ac:dyDescent="0.3">
      <c r="A5" s="2" t="s">
        <v>67</v>
      </c>
      <c r="B5" s="2" t="s">
        <v>68</v>
      </c>
      <c r="C5">
        <v>7.5</v>
      </c>
      <c r="D5">
        <v>4</v>
      </c>
      <c r="E5">
        <v>4.3</v>
      </c>
      <c r="F5">
        <v>4.7</v>
      </c>
      <c r="G5">
        <v>0</v>
      </c>
      <c r="H5" s="2" t="s">
        <v>37</v>
      </c>
      <c r="I5" s="2" t="s">
        <v>41</v>
      </c>
      <c r="J5">
        <v>110</v>
      </c>
      <c r="K5">
        <v>0</v>
      </c>
    </row>
    <row r="6" spans="1:11" x14ac:dyDescent="0.3">
      <c r="A6" s="2" t="s">
        <v>64</v>
      </c>
      <c r="B6" s="2" t="s">
        <v>65</v>
      </c>
      <c r="C6">
        <v>5</v>
      </c>
      <c r="D6">
        <v>7.6</v>
      </c>
      <c r="E6">
        <v>7.6</v>
      </c>
      <c r="F6">
        <v>9.1</v>
      </c>
      <c r="G6">
        <v>0</v>
      </c>
      <c r="H6" s="2" t="s">
        <v>37</v>
      </c>
      <c r="I6" s="2" t="s">
        <v>66</v>
      </c>
      <c r="J6">
        <v>25</v>
      </c>
      <c r="K6">
        <v>7.5312999999999999</v>
      </c>
    </row>
    <row r="7" spans="1:11" x14ac:dyDescent="0.3">
      <c r="A7" s="2" t="s">
        <v>82</v>
      </c>
      <c r="B7" s="2" t="s">
        <v>83</v>
      </c>
      <c r="C7">
        <v>20</v>
      </c>
      <c r="D7">
        <v>0.05</v>
      </c>
      <c r="E7">
        <v>0</v>
      </c>
      <c r="F7">
        <v>0</v>
      </c>
      <c r="G7">
        <v>0</v>
      </c>
      <c r="H7" s="2" t="s">
        <v>37</v>
      </c>
      <c r="I7" s="2" t="s">
        <v>84</v>
      </c>
      <c r="J7">
        <v>23</v>
      </c>
      <c r="K7">
        <v>0.5</v>
      </c>
    </row>
    <row r="8" spans="1:11" x14ac:dyDescent="0.3">
      <c r="A8" s="2" t="s">
        <v>80</v>
      </c>
      <c r="B8" s="2" t="s">
        <v>81</v>
      </c>
      <c r="C8">
        <v>17.5</v>
      </c>
      <c r="D8">
        <v>0.05</v>
      </c>
      <c r="E8">
        <v>0</v>
      </c>
      <c r="F8">
        <v>0.1</v>
      </c>
      <c r="G8">
        <v>0</v>
      </c>
      <c r="H8" s="2" t="s">
        <v>37</v>
      </c>
      <c r="I8" s="2" t="s">
        <v>41</v>
      </c>
      <c r="J8">
        <v>6</v>
      </c>
      <c r="K8">
        <v>1.5468999999999999</v>
      </c>
    </row>
    <row r="9" spans="1:11" x14ac:dyDescent="0.3">
      <c r="A9" s="2" t="s">
        <v>62</v>
      </c>
      <c r="B9" s="2" t="s">
        <v>63</v>
      </c>
      <c r="C9">
        <v>2.5</v>
      </c>
      <c r="D9">
        <v>6.6</v>
      </c>
      <c r="E9">
        <v>6.2</v>
      </c>
      <c r="F9">
        <v>7.7</v>
      </c>
      <c r="G9">
        <v>0</v>
      </c>
      <c r="H9" s="2" t="s">
        <v>37</v>
      </c>
      <c r="I9" s="2" t="s">
        <v>37</v>
      </c>
      <c r="J9">
        <v>0</v>
      </c>
      <c r="K9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8B367-D313-45C1-B459-4D52914B6B62}">
  <sheetPr codeName="Sheet8">
    <tabColor rgb="FF0070C0"/>
  </sheetPr>
  <dimension ref="A1:K8"/>
  <sheetViews>
    <sheetView showGridLines="0" topLeftCell="A2" workbookViewId="0"/>
  </sheetViews>
  <sheetFormatPr defaultRowHeight="14.4" x14ac:dyDescent="0.3"/>
  <cols>
    <col min="1" max="1" width="19" bestFit="1" customWidth="1"/>
    <col min="2" max="2" width="21.77734375" bestFit="1" customWidth="1"/>
    <col min="3" max="3" width="8" bestFit="1" customWidth="1"/>
    <col min="4" max="4" width="11.109375" bestFit="1" customWidth="1"/>
    <col min="5" max="5" width="5.88671875" bestFit="1" customWidth="1"/>
    <col min="6" max="6" width="6.21875" bestFit="1" customWidth="1"/>
    <col min="7" max="7" width="9.5546875" bestFit="1" customWidth="1"/>
    <col min="8" max="8" width="11.44140625" bestFit="1" customWidth="1"/>
    <col min="9" max="9" width="9.77734375" bestFit="1" customWidth="1"/>
    <col min="10" max="10" width="14.6640625" bestFit="1" customWidth="1"/>
    <col min="11" max="11" width="17.5546875" bestFit="1" customWidth="1"/>
  </cols>
  <sheetData>
    <row r="1" spans="1:11" x14ac:dyDescent="0.3">
      <c r="A1" t="s">
        <v>25</v>
      </c>
      <c r="B1" t="s">
        <v>26</v>
      </c>
      <c r="C1" t="s">
        <v>27</v>
      </c>
      <c r="D1" t="s">
        <v>28</v>
      </c>
      <c r="E1" t="s">
        <v>29</v>
      </c>
      <c r="F1" t="s">
        <v>30</v>
      </c>
      <c r="G1" t="s">
        <v>31</v>
      </c>
      <c r="H1" t="s">
        <v>32</v>
      </c>
      <c r="I1" t="s">
        <v>6</v>
      </c>
      <c r="J1" t="s">
        <v>33</v>
      </c>
      <c r="K1" t="s">
        <v>34</v>
      </c>
    </row>
    <row r="2" spans="1:11" x14ac:dyDescent="0.3">
      <c r="A2" s="2" t="s">
        <v>39</v>
      </c>
      <c r="B2" s="2" t="s">
        <v>40</v>
      </c>
      <c r="C2">
        <v>7.5</v>
      </c>
      <c r="D2">
        <v>0.05</v>
      </c>
      <c r="E2">
        <v>0</v>
      </c>
      <c r="F2">
        <v>0.1</v>
      </c>
      <c r="G2">
        <v>0</v>
      </c>
      <c r="H2" s="2" t="s">
        <v>37</v>
      </c>
      <c r="I2" s="2" t="s">
        <v>41</v>
      </c>
      <c r="J2">
        <v>319</v>
      </c>
      <c r="K2">
        <v>2.6562999999999999</v>
      </c>
    </row>
    <row r="3" spans="1:11" x14ac:dyDescent="0.3">
      <c r="A3" s="2" t="s">
        <v>42</v>
      </c>
      <c r="B3" s="2" t="s">
        <v>43</v>
      </c>
      <c r="C3">
        <v>10</v>
      </c>
      <c r="D3">
        <v>0.05</v>
      </c>
      <c r="E3">
        <v>0</v>
      </c>
      <c r="F3">
        <v>0.1</v>
      </c>
      <c r="G3">
        <v>0</v>
      </c>
      <c r="H3" s="2" t="s">
        <v>37</v>
      </c>
      <c r="I3" s="2" t="s">
        <v>41</v>
      </c>
      <c r="J3">
        <v>195</v>
      </c>
      <c r="K3">
        <v>1.4063000000000001</v>
      </c>
    </row>
    <row r="4" spans="1:11" x14ac:dyDescent="0.3">
      <c r="A4" s="2" t="s">
        <v>47</v>
      </c>
      <c r="B4" s="2" t="s">
        <v>48</v>
      </c>
      <c r="C4">
        <v>15</v>
      </c>
      <c r="D4">
        <v>3.61</v>
      </c>
      <c r="E4">
        <v>2.35</v>
      </c>
      <c r="F4">
        <v>2.9</v>
      </c>
      <c r="G4">
        <v>0</v>
      </c>
      <c r="H4" s="2" t="s">
        <v>37</v>
      </c>
      <c r="I4" s="2" t="s">
        <v>49</v>
      </c>
      <c r="J4">
        <v>127</v>
      </c>
      <c r="K4">
        <v>1.9922</v>
      </c>
    </row>
    <row r="5" spans="1:11" x14ac:dyDescent="0.3">
      <c r="A5" s="2" t="s">
        <v>44</v>
      </c>
      <c r="B5" s="2" t="s">
        <v>45</v>
      </c>
      <c r="C5">
        <v>12.5</v>
      </c>
      <c r="D5">
        <v>0.1</v>
      </c>
      <c r="E5">
        <v>0.05</v>
      </c>
      <c r="F5">
        <v>0.15</v>
      </c>
      <c r="G5">
        <v>-0.1</v>
      </c>
      <c r="H5" s="2" t="s">
        <v>46</v>
      </c>
      <c r="I5" s="2" t="s">
        <v>41</v>
      </c>
      <c r="J5">
        <v>123</v>
      </c>
      <c r="K5">
        <v>0.50390000000000001</v>
      </c>
    </row>
    <row r="6" spans="1:11" x14ac:dyDescent="0.3">
      <c r="A6" s="2" t="s">
        <v>35</v>
      </c>
      <c r="B6" s="2" t="s">
        <v>36</v>
      </c>
      <c r="C6">
        <v>5</v>
      </c>
      <c r="D6">
        <v>0.05</v>
      </c>
      <c r="E6">
        <v>0</v>
      </c>
      <c r="F6">
        <v>0.05</v>
      </c>
      <c r="G6">
        <v>0</v>
      </c>
      <c r="H6" s="2" t="s">
        <v>37</v>
      </c>
      <c r="I6" s="2" t="s">
        <v>38</v>
      </c>
      <c r="J6">
        <v>78</v>
      </c>
      <c r="K6">
        <v>3.875</v>
      </c>
    </row>
    <row r="7" spans="1:11" x14ac:dyDescent="0.3">
      <c r="A7" s="2" t="s">
        <v>52</v>
      </c>
      <c r="B7" s="2" t="s">
        <v>53</v>
      </c>
      <c r="C7">
        <v>20</v>
      </c>
      <c r="D7">
        <v>11.2</v>
      </c>
      <c r="E7">
        <v>11</v>
      </c>
      <c r="F7">
        <v>11.6</v>
      </c>
      <c r="G7">
        <v>0</v>
      </c>
      <c r="H7" s="2" t="s">
        <v>37</v>
      </c>
      <c r="I7" s="2" t="s">
        <v>37</v>
      </c>
      <c r="J7">
        <v>3</v>
      </c>
      <c r="K7">
        <v>10.0566</v>
      </c>
    </row>
    <row r="8" spans="1:11" x14ac:dyDescent="0.3">
      <c r="A8" s="2" t="s">
        <v>50</v>
      </c>
      <c r="B8" s="2" t="s">
        <v>51</v>
      </c>
      <c r="C8">
        <v>17.5</v>
      </c>
      <c r="D8">
        <v>5.9</v>
      </c>
      <c r="E8">
        <v>4.4000000000000004</v>
      </c>
      <c r="F8">
        <v>7</v>
      </c>
      <c r="G8">
        <v>0</v>
      </c>
      <c r="H8" s="2" t="s">
        <v>37</v>
      </c>
      <c r="I8" s="2" t="s">
        <v>41</v>
      </c>
      <c r="J8">
        <v>0</v>
      </c>
      <c r="K8">
        <v>4.0117000000000003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BAE8C-F1EE-4D14-851B-2FF8FA91E62C}">
  <sheetPr codeName="Sheet9">
    <tabColor theme="7" tint="0.39997558519241921"/>
  </sheetPr>
  <dimension ref="A1:I202"/>
  <sheetViews>
    <sheetView workbookViewId="0"/>
  </sheetViews>
  <sheetFormatPr defaultRowHeight="14.4" x14ac:dyDescent="0.3"/>
  <cols>
    <col min="6" max="6" width="13" customWidth="1"/>
  </cols>
  <sheetData>
    <row r="1" spans="1:9" x14ac:dyDescent="0.3">
      <c r="A1" t="s">
        <v>124</v>
      </c>
      <c r="B1" s="31">
        <f>'Trading Dashboard'!AB7</f>
        <v>12.87</v>
      </c>
      <c r="D1" t="s">
        <v>131</v>
      </c>
      <c r="E1" t="s">
        <v>129</v>
      </c>
      <c r="F1" t="s">
        <v>130</v>
      </c>
      <c r="G1" t="s">
        <v>132</v>
      </c>
      <c r="H1" t="s">
        <v>135</v>
      </c>
    </row>
    <row r="2" spans="1:9" x14ac:dyDescent="0.3">
      <c r="A2" t="s">
        <v>27</v>
      </c>
      <c r="B2" s="31">
        <f>'Trading Dashboard'!K8</f>
        <v>12.5</v>
      </c>
      <c r="D2">
        <v>-100</v>
      </c>
      <c r="E2" s="19">
        <f t="shared" ref="E2:E65" si="0">$B$1+D2*$B$7</f>
        <v>11.72070037348414</v>
      </c>
      <c r="F2" s="68">
        <f>IF($B$4="CALL",MAX(E2-$B$2,0)-$B$3,MAX($B$2-E2,0)-$B$3)*$B$9</f>
        <v>-55.000000000000007</v>
      </c>
      <c r="G2" s="11">
        <f>F2/$B$10</f>
        <v>-1</v>
      </c>
      <c r="H2" s="31">
        <f>$B$1</f>
        <v>12.87</v>
      </c>
      <c r="I2" s="18"/>
    </row>
    <row r="3" spans="1:9" x14ac:dyDescent="0.3">
      <c r="A3" t="s">
        <v>125</v>
      </c>
      <c r="B3" s="31">
        <f>'Trading Dashboard'!K12</f>
        <v>0.55000000000000004</v>
      </c>
      <c r="D3">
        <v>-99</v>
      </c>
      <c r="E3" s="19">
        <f t="shared" si="0"/>
        <v>11.732193369749298</v>
      </c>
      <c r="F3" s="68">
        <f t="shared" ref="F3:F66" si="1">IF($B$4="CALL",MAX(E3-$B$2,0)-$B$3,MAX($B$2-E3,0)-$B$3)*$B$9</f>
        <v>-55.000000000000007</v>
      </c>
      <c r="G3" s="11">
        <f t="shared" ref="G3:G66" si="2">F3/$B$10</f>
        <v>-1</v>
      </c>
      <c r="H3" s="31">
        <f t="shared" ref="H3:H66" si="3">$B$1</f>
        <v>12.87</v>
      </c>
    </row>
    <row r="4" spans="1:9" x14ac:dyDescent="0.3">
      <c r="A4" t="s">
        <v>90</v>
      </c>
      <c r="B4" t="str">
        <f>'Trading Dashboard'!K7</f>
        <v>CALL</v>
      </c>
      <c r="D4">
        <v>-98</v>
      </c>
      <c r="E4" s="19">
        <f t="shared" si="0"/>
        <v>11.743686366014458</v>
      </c>
      <c r="F4" s="68">
        <f t="shared" si="1"/>
        <v>-55.000000000000007</v>
      </c>
      <c r="G4" s="11">
        <f t="shared" si="2"/>
        <v>-1</v>
      </c>
      <c r="H4" s="31">
        <f t="shared" si="3"/>
        <v>12.87</v>
      </c>
    </row>
    <row r="5" spans="1:9" x14ac:dyDescent="0.3">
      <c r="A5" t="s">
        <v>127</v>
      </c>
      <c r="B5" s="12">
        <f>MAX(-1,-'Trading Dashboard'!AB9*4/SQRT(252))</f>
        <v>-8.930067028095251E-2</v>
      </c>
      <c r="C5" s="31"/>
      <c r="D5">
        <v>-97</v>
      </c>
      <c r="E5" s="19">
        <f t="shared" si="0"/>
        <v>11.755179362279616</v>
      </c>
      <c r="F5" s="68">
        <f t="shared" si="1"/>
        <v>-55.000000000000007</v>
      </c>
      <c r="G5" s="11">
        <f t="shared" si="2"/>
        <v>-1</v>
      </c>
      <c r="H5" s="31">
        <f t="shared" si="3"/>
        <v>12.87</v>
      </c>
    </row>
    <row r="6" spans="1:9" x14ac:dyDescent="0.3">
      <c r="A6" t="s">
        <v>128</v>
      </c>
      <c r="B6" s="31">
        <f>B1*(1+B5)</f>
        <v>11.72070037348414</v>
      </c>
      <c r="D6">
        <v>-96</v>
      </c>
      <c r="E6" s="19">
        <f t="shared" si="0"/>
        <v>11.766672358544774</v>
      </c>
      <c r="F6" s="68">
        <f t="shared" si="1"/>
        <v>-55.000000000000007</v>
      </c>
      <c r="G6" s="11">
        <f t="shared" si="2"/>
        <v>-1</v>
      </c>
      <c r="H6" s="31">
        <f t="shared" si="3"/>
        <v>12.87</v>
      </c>
    </row>
    <row r="7" spans="1:9" x14ac:dyDescent="0.3">
      <c r="A7" t="s">
        <v>126</v>
      </c>
      <c r="B7" s="31">
        <f>(B1-B6)/100</f>
        <v>1.1492996265158588E-2</v>
      </c>
      <c r="D7">
        <v>-95</v>
      </c>
      <c r="E7" s="19">
        <f t="shared" si="0"/>
        <v>11.778165354809934</v>
      </c>
      <c r="F7" s="68">
        <f t="shared" si="1"/>
        <v>-55.000000000000007</v>
      </c>
      <c r="G7" s="11">
        <f t="shared" si="2"/>
        <v>-1</v>
      </c>
      <c r="H7" s="31">
        <f t="shared" si="3"/>
        <v>12.87</v>
      </c>
    </row>
    <row r="8" spans="1:9" x14ac:dyDescent="0.3">
      <c r="A8" t="s">
        <v>133</v>
      </c>
      <c r="B8" t="str">
        <f>IF(B1=B2,"ATM",IF(B1&gt;B2,IF(B4="CALL","ITM","OTM"),IF(B4="CALL","OTM","ITM")))</f>
        <v>ITM</v>
      </c>
      <c r="D8">
        <v>-94</v>
      </c>
      <c r="E8" s="19">
        <f t="shared" si="0"/>
        <v>11.789658351075092</v>
      </c>
      <c r="F8" s="68">
        <f t="shared" si="1"/>
        <v>-55.000000000000007</v>
      </c>
      <c r="G8" s="11">
        <f t="shared" si="2"/>
        <v>-1</v>
      </c>
      <c r="H8" s="31">
        <f t="shared" si="3"/>
        <v>12.87</v>
      </c>
    </row>
    <row r="9" spans="1:9" x14ac:dyDescent="0.3">
      <c r="A9" t="s">
        <v>91</v>
      </c>
      <c r="B9" s="32">
        <f>'Trading Dashboard'!K10</f>
        <v>100</v>
      </c>
      <c r="D9">
        <v>-93</v>
      </c>
      <c r="E9" s="19">
        <f t="shared" si="0"/>
        <v>11.80115134734025</v>
      </c>
      <c r="F9" s="68">
        <f t="shared" si="1"/>
        <v>-55.000000000000007</v>
      </c>
      <c r="G9" s="11">
        <f t="shared" si="2"/>
        <v>-1</v>
      </c>
      <c r="H9" s="31">
        <f t="shared" si="3"/>
        <v>12.87</v>
      </c>
    </row>
    <row r="10" spans="1:9" x14ac:dyDescent="0.3">
      <c r="A10" t="s">
        <v>134</v>
      </c>
      <c r="B10" s="31">
        <f>B9*B3</f>
        <v>55.000000000000007</v>
      </c>
      <c r="D10">
        <v>-92</v>
      </c>
      <c r="E10" s="19">
        <f t="shared" si="0"/>
        <v>11.81264434360541</v>
      </c>
      <c r="F10" s="68">
        <f t="shared" si="1"/>
        <v>-55.000000000000007</v>
      </c>
      <c r="G10" s="11">
        <f t="shared" si="2"/>
        <v>-1</v>
      </c>
      <c r="H10" s="31">
        <f t="shared" si="3"/>
        <v>12.87</v>
      </c>
    </row>
    <row r="11" spans="1:9" x14ac:dyDescent="0.3">
      <c r="D11">
        <v>-91</v>
      </c>
      <c r="E11" s="19">
        <f t="shared" si="0"/>
        <v>11.824137339870568</v>
      </c>
      <c r="F11" s="68">
        <f t="shared" si="1"/>
        <v>-55.000000000000007</v>
      </c>
      <c r="G11" s="11">
        <f t="shared" si="2"/>
        <v>-1</v>
      </c>
      <c r="H11" s="31">
        <f t="shared" si="3"/>
        <v>12.87</v>
      </c>
    </row>
    <row r="12" spans="1:9" x14ac:dyDescent="0.3">
      <c r="D12">
        <v>-90</v>
      </c>
      <c r="E12" s="19">
        <f t="shared" si="0"/>
        <v>11.835630336135726</v>
      </c>
      <c r="F12" s="68">
        <f t="shared" si="1"/>
        <v>-55.000000000000007</v>
      </c>
      <c r="G12" s="11">
        <f t="shared" si="2"/>
        <v>-1</v>
      </c>
      <c r="H12" s="31">
        <f t="shared" si="3"/>
        <v>12.87</v>
      </c>
    </row>
    <row r="13" spans="1:9" x14ac:dyDescent="0.3">
      <c r="D13">
        <v>-89</v>
      </c>
      <c r="E13" s="19">
        <f t="shared" si="0"/>
        <v>11.847123332400885</v>
      </c>
      <c r="F13" s="68">
        <f t="shared" si="1"/>
        <v>-55.000000000000007</v>
      </c>
      <c r="G13" s="11">
        <f t="shared" si="2"/>
        <v>-1</v>
      </c>
      <c r="H13" s="31">
        <f t="shared" si="3"/>
        <v>12.87</v>
      </c>
    </row>
    <row r="14" spans="1:9" x14ac:dyDescent="0.3">
      <c r="D14">
        <v>-88</v>
      </c>
      <c r="E14" s="19">
        <f t="shared" si="0"/>
        <v>11.858616328666043</v>
      </c>
      <c r="F14" s="68">
        <f t="shared" si="1"/>
        <v>-55.000000000000007</v>
      </c>
      <c r="G14" s="11">
        <f t="shared" si="2"/>
        <v>-1</v>
      </c>
      <c r="H14" s="31">
        <f t="shared" si="3"/>
        <v>12.87</v>
      </c>
    </row>
    <row r="15" spans="1:9" x14ac:dyDescent="0.3">
      <c r="D15">
        <v>-87</v>
      </c>
      <c r="E15" s="19">
        <f t="shared" si="0"/>
        <v>11.870109324931201</v>
      </c>
      <c r="F15" s="68">
        <f t="shared" si="1"/>
        <v>-55.000000000000007</v>
      </c>
      <c r="G15" s="11">
        <f t="shared" si="2"/>
        <v>-1</v>
      </c>
      <c r="H15" s="31">
        <f t="shared" si="3"/>
        <v>12.87</v>
      </c>
    </row>
    <row r="16" spans="1:9" x14ac:dyDescent="0.3">
      <c r="D16">
        <v>-86</v>
      </c>
      <c r="E16" s="19">
        <f t="shared" si="0"/>
        <v>11.881602321196361</v>
      </c>
      <c r="F16" s="68">
        <f t="shared" si="1"/>
        <v>-55.000000000000007</v>
      </c>
      <c r="G16" s="11">
        <f t="shared" si="2"/>
        <v>-1</v>
      </c>
      <c r="H16" s="31">
        <f t="shared" si="3"/>
        <v>12.87</v>
      </c>
    </row>
    <row r="17" spans="4:8" x14ac:dyDescent="0.3">
      <c r="D17">
        <v>-85</v>
      </c>
      <c r="E17" s="19">
        <f t="shared" si="0"/>
        <v>11.893095317461519</v>
      </c>
      <c r="F17" s="68">
        <f t="shared" si="1"/>
        <v>-55.000000000000007</v>
      </c>
      <c r="G17" s="11">
        <f t="shared" si="2"/>
        <v>-1</v>
      </c>
      <c r="H17" s="31">
        <f t="shared" si="3"/>
        <v>12.87</v>
      </c>
    </row>
    <row r="18" spans="4:8" x14ac:dyDescent="0.3">
      <c r="D18">
        <v>-84</v>
      </c>
      <c r="E18" s="19">
        <f t="shared" si="0"/>
        <v>11.904588313726677</v>
      </c>
      <c r="F18" s="68">
        <f t="shared" si="1"/>
        <v>-55.000000000000007</v>
      </c>
      <c r="G18" s="11">
        <f t="shared" si="2"/>
        <v>-1</v>
      </c>
      <c r="H18" s="31">
        <f t="shared" si="3"/>
        <v>12.87</v>
      </c>
    </row>
    <row r="19" spans="4:8" x14ac:dyDescent="0.3">
      <c r="D19">
        <v>-83</v>
      </c>
      <c r="E19" s="19">
        <f t="shared" si="0"/>
        <v>11.916081309991837</v>
      </c>
      <c r="F19" s="68">
        <f t="shared" si="1"/>
        <v>-55.000000000000007</v>
      </c>
      <c r="G19" s="11">
        <f t="shared" si="2"/>
        <v>-1</v>
      </c>
      <c r="H19" s="31">
        <f t="shared" si="3"/>
        <v>12.87</v>
      </c>
    </row>
    <row r="20" spans="4:8" x14ac:dyDescent="0.3">
      <c r="D20">
        <v>-82</v>
      </c>
      <c r="E20" s="19">
        <f t="shared" si="0"/>
        <v>11.927574306256995</v>
      </c>
      <c r="F20" s="68">
        <f t="shared" si="1"/>
        <v>-55.000000000000007</v>
      </c>
      <c r="G20" s="11">
        <f t="shared" si="2"/>
        <v>-1</v>
      </c>
      <c r="H20" s="31">
        <f t="shared" si="3"/>
        <v>12.87</v>
      </c>
    </row>
    <row r="21" spans="4:8" x14ac:dyDescent="0.3">
      <c r="D21">
        <v>-81</v>
      </c>
      <c r="E21" s="19">
        <f t="shared" si="0"/>
        <v>11.939067302522155</v>
      </c>
      <c r="F21" s="68">
        <f t="shared" si="1"/>
        <v>-55.000000000000007</v>
      </c>
      <c r="G21" s="11">
        <f t="shared" si="2"/>
        <v>-1</v>
      </c>
      <c r="H21" s="31">
        <f t="shared" si="3"/>
        <v>12.87</v>
      </c>
    </row>
    <row r="22" spans="4:8" x14ac:dyDescent="0.3">
      <c r="D22">
        <v>-80</v>
      </c>
      <c r="E22" s="19">
        <f t="shared" si="0"/>
        <v>11.950560298787313</v>
      </c>
      <c r="F22" s="68">
        <f t="shared" si="1"/>
        <v>-55.000000000000007</v>
      </c>
      <c r="G22" s="11">
        <f t="shared" si="2"/>
        <v>-1</v>
      </c>
      <c r="H22" s="31">
        <f t="shared" si="3"/>
        <v>12.87</v>
      </c>
    </row>
    <row r="23" spans="4:8" x14ac:dyDescent="0.3">
      <c r="D23">
        <v>-79</v>
      </c>
      <c r="E23" s="19">
        <f t="shared" si="0"/>
        <v>11.962053295052471</v>
      </c>
      <c r="F23" s="68">
        <f t="shared" si="1"/>
        <v>-55.000000000000007</v>
      </c>
      <c r="G23" s="11">
        <f t="shared" si="2"/>
        <v>-1</v>
      </c>
      <c r="H23" s="31">
        <f t="shared" si="3"/>
        <v>12.87</v>
      </c>
    </row>
    <row r="24" spans="4:8" x14ac:dyDescent="0.3">
      <c r="D24">
        <v>-78</v>
      </c>
      <c r="E24" s="19">
        <f t="shared" si="0"/>
        <v>11.973546291317628</v>
      </c>
      <c r="F24" s="68">
        <f t="shared" si="1"/>
        <v>-55.000000000000007</v>
      </c>
      <c r="G24" s="11">
        <f t="shared" si="2"/>
        <v>-1</v>
      </c>
      <c r="H24" s="31">
        <f t="shared" si="3"/>
        <v>12.87</v>
      </c>
    </row>
    <row r="25" spans="4:8" x14ac:dyDescent="0.3">
      <c r="D25">
        <v>-77</v>
      </c>
      <c r="E25" s="19">
        <f t="shared" si="0"/>
        <v>11.985039287582788</v>
      </c>
      <c r="F25" s="68">
        <f t="shared" si="1"/>
        <v>-55.000000000000007</v>
      </c>
      <c r="G25" s="11">
        <f t="shared" si="2"/>
        <v>-1</v>
      </c>
      <c r="H25" s="31">
        <f t="shared" si="3"/>
        <v>12.87</v>
      </c>
    </row>
    <row r="26" spans="4:8" x14ac:dyDescent="0.3">
      <c r="D26">
        <v>-76</v>
      </c>
      <c r="E26" s="19">
        <f t="shared" si="0"/>
        <v>11.996532283847946</v>
      </c>
      <c r="F26" s="68">
        <f t="shared" si="1"/>
        <v>-55.000000000000007</v>
      </c>
      <c r="G26" s="11">
        <f t="shared" si="2"/>
        <v>-1</v>
      </c>
      <c r="H26" s="31">
        <f t="shared" si="3"/>
        <v>12.87</v>
      </c>
    </row>
    <row r="27" spans="4:8" x14ac:dyDescent="0.3">
      <c r="D27">
        <v>-75</v>
      </c>
      <c r="E27" s="19">
        <f t="shared" si="0"/>
        <v>12.008025280113106</v>
      </c>
      <c r="F27" s="68">
        <f t="shared" si="1"/>
        <v>-55.000000000000007</v>
      </c>
      <c r="G27" s="11">
        <f t="shared" si="2"/>
        <v>-1</v>
      </c>
      <c r="H27" s="31">
        <f t="shared" si="3"/>
        <v>12.87</v>
      </c>
    </row>
    <row r="28" spans="4:8" x14ac:dyDescent="0.3">
      <c r="D28">
        <v>-74</v>
      </c>
      <c r="E28" s="19">
        <f t="shared" si="0"/>
        <v>12.019518276378264</v>
      </c>
      <c r="F28" s="68">
        <f t="shared" si="1"/>
        <v>-55.000000000000007</v>
      </c>
      <c r="G28" s="11">
        <f t="shared" si="2"/>
        <v>-1</v>
      </c>
      <c r="H28" s="31">
        <f t="shared" si="3"/>
        <v>12.87</v>
      </c>
    </row>
    <row r="29" spans="4:8" x14ac:dyDescent="0.3">
      <c r="D29">
        <v>-73</v>
      </c>
      <c r="E29" s="19">
        <f t="shared" si="0"/>
        <v>12.031011272643422</v>
      </c>
      <c r="F29" s="68">
        <f t="shared" si="1"/>
        <v>-55.000000000000007</v>
      </c>
      <c r="G29" s="11">
        <f t="shared" si="2"/>
        <v>-1</v>
      </c>
      <c r="H29" s="31">
        <f t="shared" si="3"/>
        <v>12.87</v>
      </c>
    </row>
    <row r="30" spans="4:8" x14ac:dyDescent="0.3">
      <c r="D30">
        <v>-72</v>
      </c>
      <c r="E30" s="19">
        <f t="shared" si="0"/>
        <v>12.04250426890858</v>
      </c>
      <c r="F30" s="68">
        <f t="shared" si="1"/>
        <v>-55.000000000000007</v>
      </c>
      <c r="G30" s="11">
        <f t="shared" si="2"/>
        <v>-1</v>
      </c>
      <c r="H30" s="31">
        <f t="shared" si="3"/>
        <v>12.87</v>
      </c>
    </row>
    <row r="31" spans="4:8" x14ac:dyDescent="0.3">
      <c r="D31">
        <v>-71</v>
      </c>
      <c r="E31" s="19">
        <f t="shared" si="0"/>
        <v>12.05399726517374</v>
      </c>
      <c r="F31" s="68">
        <f t="shared" si="1"/>
        <v>-55.000000000000007</v>
      </c>
      <c r="G31" s="11">
        <f t="shared" si="2"/>
        <v>-1</v>
      </c>
      <c r="H31" s="31">
        <f t="shared" si="3"/>
        <v>12.87</v>
      </c>
    </row>
    <row r="32" spans="4:8" x14ac:dyDescent="0.3">
      <c r="D32">
        <v>-70</v>
      </c>
      <c r="E32" s="19">
        <f t="shared" si="0"/>
        <v>12.065490261438898</v>
      </c>
      <c r="F32" s="68">
        <f t="shared" si="1"/>
        <v>-55.000000000000007</v>
      </c>
      <c r="G32" s="11">
        <f t="shared" si="2"/>
        <v>-1</v>
      </c>
      <c r="H32" s="31">
        <f t="shared" si="3"/>
        <v>12.87</v>
      </c>
    </row>
    <row r="33" spans="4:8" x14ac:dyDescent="0.3">
      <c r="D33">
        <v>-69</v>
      </c>
      <c r="E33" s="19">
        <f t="shared" si="0"/>
        <v>12.076983257704057</v>
      </c>
      <c r="F33" s="68">
        <f t="shared" si="1"/>
        <v>-55.000000000000007</v>
      </c>
      <c r="G33" s="11">
        <f t="shared" si="2"/>
        <v>-1</v>
      </c>
      <c r="H33" s="31">
        <f t="shared" si="3"/>
        <v>12.87</v>
      </c>
    </row>
    <row r="34" spans="4:8" x14ac:dyDescent="0.3">
      <c r="D34">
        <v>-68</v>
      </c>
      <c r="E34" s="19">
        <f t="shared" si="0"/>
        <v>12.088476253969215</v>
      </c>
      <c r="F34" s="68">
        <f t="shared" si="1"/>
        <v>-55.000000000000007</v>
      </c>
      <c r="G34" s="11">
        <f t="shared" si="2"/>
        <v>-1</v>
      </c>
      <c r="H34" s="31">
        <f t="shared" si="3"/>
        <v>12.87</v>
      </c>
    </row>
    <row r="35" spans="4:8" x14ac:dyDescent="0.3">
      <c r="D35">
        <v>-67</v>
      </c>
      <c r="E35" s="19">
        <f t="shared" si="0"/>
        <v>12.099969250234373</v>
      </c>
      <c r="F35" s="68">
        <f t="shared" si="1"/>
        <v>-55.000000000000007</v>
      </c>
      <c r="G35" s="11">
        <f t="shared" si="2"/>
        <v>-1</v>
      </c>
      <c r="H35" s="31">
        <f t="shared" si="3"/>
        <v>12.87</v>
      </c>
    </row>
    <row r="36" spans="4:8" x14ac:dyDescent="0.3">
      <c r="D36">
        <v>-66</v>
      </c>
      <c r="E36" s="19">
        <f t="shared" si="0"/>
        <v>12.111462246499533</v>
      </c>
      <c r="F36" s="68">
        <f t="shared" si="1"/>
        <v>-55.000000000000007</v>
      </c>
      <c r="G36" s="11">
        <f t="shared" si="2"/>
        <v>-1</v>
      </c>
      <c r="H36" s="31">
        <f t="shared" si="3"/>
        <v>12.87</v>
      </c>
    </row>
    <row r="37" spans="4:8" x14ac:dyDescent="0.3">
      <c r="D37">
        <v>-65</v>
      </c>
      <c r="E37" s="19">
        <f t="shared" si="0"/>
        <v>12.122955242764691</v>
      </c>
      <c r="F37" s="68">
        <f t="shared" si="1"/>
        <v>-55.000000000000007</v>
      </c>
      <c r="G37" s="11">
        <f t="shared" si="2"/>
        <v>-1</v>
      </c>
      <c r="H37" s="31">
        <f t="shared" si="3"/>
        <v>12.87</v>
      </c>
    </row>
    <row r="38" spans="4:8" x14ac:dyDescent="0.3">
      <c r="D38">
        <v>-64</v>
      </c>
      <c r="E38" s="19">
        <f t="shared" si="0"/>
        <v>12.134448239029849</v>
      </c>
      <c r="F38" s="68">
        <f t="shared" si="1"/>
        <v>-55.000000000000007</v>
      </c>
      <c r="G38" s="11">
        <f t="shared" si="2"/>
        <v>-1</v>
      </c>
      <c r="H38" s="31">
        <f t="shared" si="3"/>
        <v>12.87</v>
      </c>
    </row>
    <row r="39" spans="4:8" x14ac:dyDescent="0.3">
      <c r="D39">
        <v>-63</v>
      </c>
      <c r="E39" s="19">
        <f t="shared" si="0"/>
        <v>12.145941235295009</v>
      </c>
      <c r="F39" s="68">
        <f t="shared" si="1"/>
        <v>-55.000000000000007</v>
      </c>
      <c r="G39" s="11">
        <f t="shared" si="2"/>
        <v>-1</v>
      </c>
      <c r="H39" s="31">
        <f t="shared" si="3"/>
        <v>12.87</v>
      </c>
    </row>
    <row r="40" spans="4:8" x14ac:dyDescent="0.3">
      <c r="D40">
        <v>-62</v>
      </c>
      <c r="E40" s="19">
        <f t="shared" si="0"/>
        <v>12.157434231560167</v>
      </c>
      <c r="F40" s="68">
        <f t="shared" si="1"/>
        <v>-55.000000000000007</v>
      </c>
      <c r="G40" s="11">
        <f t="shared" si="2"/>
        <v>-1</v>
      </c>
      <c r="H40" s="31">
        <f t="shared" si="3"/>
        <v>12.87</v>
      </c>
    </row>
    <row r="41" spans="4:8" x14ac:dyDescent="0.3">
      <c r="D41">
        <v>-61</v>
      </c>
      <c r="E41" s="19">
        <f t="shared" si="0"/>
        <v>12.168927227825325</v>
      </c>
      <c r="F41" s="68">
        <f t="shared" si="1"/>
        <v>-55.000000000000007</v>
      </c>
      <c r="G41" s="11">
        <f t="shared" si="2"/>
        <v>-1</v>
      </c>
      <c r="H41" s="31">
        <f t="shared" si="3"/>
        <v>12.87</v>
      </c>
    </row>
    <row r="42" spans="4:8" x14ac:dyDescent="0.3">
      <c r="D42">
        <v>-60</v>
      </c>
      <c r="E42" s="19">
        <f t="shared" si="0"/>
        <v>12.180420224090485</v>
      </c>
      <c r="F42" s="68">
        <f t="shared" si="1"/>
        <v>-55.000000000000007</v>
      </c>
      <c r="G42" s="11">
        <f t="shared" si="2"/>
        <v>-1</v>
      </c>
      <c r="H42" s="31">
        <f t="shared" si="3"/>
        <v>12.87</v>
      </c>
    </row>
    <row r="43" spans="4:8" x14ac:dyDescent="0.3">
      <c r="D43">
        <v>-59</v>
      </c>
      <c r="E43" s="19">
        <f t="shared" si="0"/>
        <v>12.191913220355643</v>
      </c>
      <c r="F43" s="68">
        <f t="shared" si="1"/>
        <v>-55.000000000000007</v>
      </c>
      <c r="G43" s="11">
        <f t="shared" si="2"/>
        <v>-1</v>
      </c>
      <c r="H43" s="31">
        <f t="shared" si="3"/>
        <v>12.87</v>
      </c>
    </row>
    <row r="44" spans="4:8" x14ac:dyDescent="0.3">
      <c r="D44">
        <v>-58</v>
      </c>
      <c r="E44" s="19">
        <f t="shared" si="0"/>
        <v>12.203406216620801</v>
      </c>
      <c r="F44" s="68">
        <f t="shared" si="1"/>
        <v>-55.000000000000007</v>
      </c>
      <c r="G44" s="11">
        <f t="shared" si="2"/>
        <v>-1</v>
      </c>
      <c r="H44" s="31">
        <f t="shared" si="3"/>
        <v>12.87</v>
      </c>
    </row>
    <row r="45" spans="4:8" x14ac:dyDescent="0.3">
      <c r="D45">
        <v>-57</v>
      </c>
      <c r="E45" s="19">
        <f t="shared" si="0"/>
        <v>12.21489921288596</v>
      </c>
      <c r="F45" s="68">
        <f t="shared" si="1"/>
        <v>-55.000000000000007</v>
      </c>
      <c r="G45" s="11">
        <f t="shared" si="2"/>
        <v>-1</v>
      </c>
      <c r="H45" s="31">
        <f t="shared" si="3"/>
        <v>12.87</v>
      </c>
    </row>
    <row r="46" spans="4:8" x14ac:dyDescent="0.3">
      <c r="D46">
        <v>-56</v>
      </c>
      <c r="E46" s="19">
        <f t="shared" si="0"/>
        <v>12.226392209151118</v>
      </c>
      <c r="F46" s="68">
        <f t="shared" si="1"/>
        <v>-55.000000000000007</v>
      </c>
      <c r="G46" s="11">
        <f t="shared" si="2"/>
        <v>-1</v>
      </c>
      <c r="H46" s="31">
        <f t="shared" si="3"/>
        <v>12.87</v>
      </c>
    </row>
    <row r="47" spans="4:8" x14ac:dyDescent="0.3">
      <c r="D47">
        <v>-55</v>
      </c>
      <c r="E47" s="19">
        <f t="shared" si="0"/>
        <v>12.237885205416276</v>
      </c>
      <c r="F47" s="68">
        <f t="shared" si="1"/>
        <v>-55.000000000000007</v>
      </c>
      <c r="G47" s="11">
        <f t="shared" si="2"/>
        <v>-1</v>
      </c>
      <c r="H47" s="31">
        <f t="shared" si="3"/>
        <v>12.87</v>
      </c>
    </row>
    <row r="48" spans="4:8" x14ac:dyDescent="0.3">
      <c r="D48">
        <v>-54</v>
      </c>
      <c r="E48" s="19">
        <f t="shared" si="0"/>
        <v>12.249378201681436</v>
      </c>
      <c r="F48" s="68">
        <f t="shared" si="1"/>
        <v>-55.000000000000007</v>
      </c>
      <c r="G48" s="11">
        <f t="shared" si="2"/>
        <v>-1</v>
      </c>
      <c r="H48" s="31">
        <f t="shared" si="3"/>
        <v>12.87</v>
      </c>
    </row>
    <row r="49" spans="4:8" x14ac:dyDescent="0.3">
      <c r="D49">
        <v>-53</v>
      </c>
      <c r="E49" s="19">
        <f t="shared" si="0"/>
        <v>12.260871197946594</v>
      </c>
      <c r="F49" s="68">
        <f t="shared" si="1"/>
        <v>-55.000000000000007</v>
      </c>
      <c r="G49" s="11">
        <f t="shared" si="2"/>
        <v>-1</v>
      </c>
      <c r="H49" s="31">
        <f t="shared" si="3"/>
        <v>12.87</v>
      </c>
    </row>
    <row r="50" spans="4:8" x14ac:dyDescent="0.3">
      <c r="D50">
        <v>-52</v>
      </c>
      <c r="E50" s="19">
        <f t="shared" si="0"/>
        <v>12.272364194211752</v>
      </c>
      <c r="F50" s="68">
        <f t="shared" si="1"/>
        <v>-55.000000000000007</v>
      </c>
      <c r="G50" s="11">
        <f t="shared" si="2"/>
        <v>-1</v>
      </c>
      <c r="H50" s="31">
        <f t="shared" si="3"/>
        <v>12.87</v>
      </c>
    </row>
    <row r="51" spans="4:8" x14ac:dyDescent="0.3">
      <c r="D51">
        <v>-51</v>
      </c>
      <c r="E51" s="19">
        <f t="shared" si="0"/>
        <v>12.283857190476912</v>
      </c>
      <c r="F51" s="68">
        <f t="shared" si="1"/>
        <v>-55.000000000000007</v>
      </c>
      <c r="G51" s="11">
        <f t="shared" si="2"/>
        <v>-1</v>
      </c>
      <c r="H51" s="31">
        <f t="shared" si="3"/>
        <v>12.87</v>
      </c>
    </row>
    <row r="52" spans="4:8" x14ac:dyDescent="0.3">
      <c r="D52">
        <v>-50</v>
      </c>
      <c r="E52" s="19">
        <f t="shared" si="0"/>
        <v>12.29535018674207</v>
      </c>
      <c r="F52" s="68">
        <f t="shared" si="1"/>
        <v>-55.000000000000007</v>
      </c>
      <c r="G52" s="11">
        <f t="shared" si="2"/>
        <v>-1</v>
      </c>
      <c r="H52" s="31">
        <f t="shared" si="3"/>
        <v>12.87</v>
      </c>
    </row>
    <row r="53" spans="4:8" x14ac:dyDescent="0.3">
      <c r="D53">
        <v>-49</v>
      </c>
      <c r="E53" s="19">
        <f t="shared" si="0"/>
        <v>12.306843183007228</v>
      </c>
      <c r="F53" s="68">
        <f t="shared" si="1"/>
        <v>-55.000000000000007</v>
      </c>
      <c r="G53" s="11">
        <f t="shared" si="2"/>
        <v>-1</v>
      </c>
      <c r="H53" s="31">
        <f t="shared" si="3"/>
        <v>12.87</v>
      </c>
    </row>
    <row r="54" spans="4:8" x14ac:dyDescent="0.3">
      <c r="D54">
        <v>-48</v>
      </c>
      <c r="E54" s="19">
        <f t="shared" si="0"/>
        <v>12.318336179272388</v>
      </c>
      <c r="F54" s="68">
        <f t="shared" si="1"/>
        <v>-55.000000000000007</v>
      </c>
      <c r="G54" s="11">
        <f t="shared" si="2"/>
        <v>-1</v>
      </c>
      <c r="H54" s="31">
        <f t="shared" si="3"/>
        <v>12.87</v>
      </c>
    </row>
    <row r="55" spans="4:8" x14ac:dyDescent="0.3">
      <c r="D55">
        <v>-47</v>
      </c>
      <c r="E55" s="19">
        <f t="shared" si="0"/>
        <v>12.329829175537546</v>
      </c>
      <c r="F55" s="68">
        <f t="shared" si="1"/>
        <v>-55.000000000000007</v>
      </c>
      <c r="G55" s="11">
        <f t="shared" si="2"/>
        <v>-1</v>
      </c>
      <c r="H55" s="31">
        <f t="shared" si="3"/>
        <v>12.87</v>
      </c>
    </row>
    <row r="56" spans="4:8" x14ac:dyDescent="0.3">
      <c r="D56">
        <v>-46</v>
      </c>
      <c r="E56" s="19">
        <f t="shared" si="0"/>
        <v>12.341322171802704</v>
      </c>
      <c r="F56" s="68">
        <f t="shared" si="1"/>
        <v>-55.000000000000007</v>
      </c>
      <c r="G56" s="11">
        <f t="shared" si="2"/>
        <v>-1</v>
      </c>
      <c r="H56" s="31">
        <f t="shared" si="3"/>
        <v>12.87</v>
      </c>
    </row>
    <row r="57" spans="4:8" x14ac:dyDescent="0.3">
      <c r="D57">
        <v>-45</v>
      </c>
      <c r="E57" s="19">
        <f t="shared" si="0"/>
        <v>12.352815168067863</v>
      </c>
      <c r="F57" s="68">
        <f t="shared" si="1"/>
        <v>-55.000000000000007</v>
      </c>
      <c r="G57" s="11">
        <f t="shared" si="2"/>
        <v>-1</v>
      </c>
      <c r="H57" s="31">
        <f t="shared" si="3"/>
        <v>12.87</v>
      </c>
    </row>
    <row r="58" spans="4:8" x14ac:dyDescent="0.3">
      <c r="D58">
        <v>-44</v>
      </c>
      <c r="E58" s="19">
        <f t="shared" si="0"/>
        <v>12.364308164333021</v>
      </c>
      <c r="F58" s="68">
        <f t="shared" si="1"/>
        <v>-55.000000000000007</v>
      </c>
      <c r="G58" s="11">
        <f t="shared" si="2"/>
        <v>-1</v>
      </c>
      <c r="H58" s="31">
        <f t="shared" si="3"/>
        <v>12.87</v>
      </c>
    </row>
    <row r="59" spans="4:8" x14ac:dyDescent="0.3">
      <c r="D59">
        <v>-43</v>
      </c>
      <c r="E59" s="19">
        <f t="shared" si="0"/>
        <v>12.375801160598179</v>
      </c>
      <c r="F59" s="68">
        <f t="shared" si="1"/>
        <v>-55.000000000000007</v>
      </c>
      <c r="G59" s="11">
        <f t="shared" si="2"/>
        <v>-1</v>
      </c>
      <c r="H59" s="31">
        <f t="shared" si="3"/>
        <v>12.87</v>
      </c>
    </row>
    <row r="60" spans="4:8" x14ac:dyDescent="0.3">
      <c r="D60">
        <v>-42</v>
      </c>
      <c r="E60" s="19">
        <f t="shared" si="0"/>
        <v>12.387294156863339</v>
      </c>
      <c r="F60" s="68">
        <f t="shared" si="1"/>
        <v>-55.000000000000007</v>
      </c>
      <c r="G60" s="11">
        <f t="shared" si="2"/>
        <v>-1</v>
      </c>
      <c r="H60" s="31">
        <f t="shared" si="3"/>
        <v>12.87</v>
      </c>
    </row>
    <row r="61" spans="4:8" x14ac:dyDescent="0.3">
      <c r="D61">
        <v>-41</v>
      </c>
      <c r="E61" s="19">
        <f t="shared" si="0"/>
        <v>12.398787153128497</v>
      </c>
      <c r="F61" s="68">
        <f t="shared" si="1"/>
        <v>-55.000000000000007</v>
      </c>
      <c r="G61" s="11">
        <f t="shared" si="2"/>
        <v>-1</v>
      </c>
      <c r="H61" s="31">
        <f t="shared" si="3"/>
        <v>12.87</v>
      </c>
    </row>
    <row r="62" spans="4:8" x14ac:dyDescent="0.3">
      <c r="D62">
        <v>-40</v>
      </c>
      <c r="E62" s="19">
        <f t="shared" si="0"/>
        <v>12.410280149393655</v>
      </c>
      <c r="F62" s="68">
        <f t="shared" si="1"/>
        <v>-55.000000000000007</v>
      </c>
      <c r="G62" s="11">
        <f t="shared" si="2"/>
        <v>-1</v>
      </c>
      <c r="H62" s="31">
        <f t="shared" si="3"/>
        <v>12.87</v>
      </c>
    </row>
    <row r="63" spans="4:8" x14ac:dyDescent="0.3">
      <c r="D63">
        <v>-39</v>
      </c>
      <c r="E63" s="19">
        <f t="shared" si="0"/>
        <v>12.421773145658815</v>
      </c>
      <c r="F63" s="68">
        <f t="shared" si="1"/>
        <v>-55.000000000000007</v>
      </c>
      <c r="G63" s="11">
        <f t="shared" si="2"/>
        <v>-1</v>
      </c>
      <c r="H63" s="31">
        <f t="shared" si="3"/>
        <v>12.87</v>
      </c>
    </row>
    <row r="64" spans="4:8" x14ac:dyDescent="0.3">
      <c r="D64">
        <v>-38</v>
      </c>
      <c r="E64" s="19">
        <f t="shared" si="0"/>
        <v>12.433266141923973</v>
      </c>
      <c r="F64" s="68">
        <f t="shared" si="1"/>
        <v>-55.000000000000007</v>
      </c>
      <c r="G64" s="11">
        <f t="shared" si="2"/>
        <v>-1</v>
      </c>
      <c r="H64" s="31">
        <f t="shared" si="3"/>
        <v>12.87</v>
      </c>
    </row>
    <row r="65" spans="4:8" x14ac:dyDescent="0.3">
      <c r="D65">
        <v>-37</v>
      </c>
      <c r="E65" s="19">
        <f t="shared" si="0"/>
        <v>12.444759138189131</v>
      </c>
      <c r="F65" s="68">
        <f t="shared" si="1"/>
        <v>-55.000000000000007</v>
      </c>
      <c r="G65" s="11">
        <f t="shared" si="2"/>
        <v>-1</v>
      </c>
      <c r="H65" s="31">
        <f t="shared" si="3"/>
        <v>12.87</v>
      </c>
    </row>
    <row r="66" spans="4:8" x14ac:dyDescent="0.3">
      <c r="D66">
        <v>-36</v>
      </c>
      <c r="E66" s="19">
        <f t="shared" ref="E66:E129" si="4">$B$1+D66*$B$7</f>
        <v>12.45625213445429</v>
      </c>
      <c r="F66" s="68">
        <f t="shared" si="1"/>
        <v>-55.000000000000007</v>
      </c>
      <c r="G66" s="11">
        <f t="shared" si="2"/>
        <v>-1</v>
      </c>
      <c r="H66" s="31">
        <f t="shared" si="3"/>
        <v>12.87</v>
      </c>
    </row>
    <row r="67" spans="4:8" x14ac:dyDescent="0.3">
      <c r="D67">
        <v>-35</v>
      </c>
      <c r="E67" s="19">
        <f t="shared" si="4"/>
        <v>12.467745130719448</v>
      </c>
      <c r="F67" s="68">
        <f t="shared" ref="F67:F130" si="5">IF($B$4="CALL",MAX(E67-$B$2,0)-$B$3,MAX($B$2-E67,0)-$B$3)*$B$9</f>
        <v>-55.000000000000007</v>
      </c>
      <c r="G67" s="11">
        <f t="shared" ref="G67:G130" si="6">F67/$B$10</f>
        <v>-1</v>
      </c>
      <c r="H67" s="31">
        <f t="shared" ref="H67:H130" si="7">$B$1</f>
        <v>12.87</v>
      </c>
    </row>
    <row r="68" spans="4:8" x14ac:dyDescent="0.3">
      <c r="D68">
        <v>-34</v>
      </c>
      <c r="E68" s="19">
        <f t="shared" si="4"/>
        <v>12.479238126984606</v>
      </c>
      <c r="F68" s="68">
        <f t="shared" si="5"/>
        <v>-55.000000000000007</v>
      </c>
      <c r="G68" s="11">
        <f t="shared" si="6"/>
        <v>-1</v>
      </c>
      <c r="H68" s="31">
        <f t="shared" si="7"/>
        <v>12.87</v>
      </c>
    </row>
    <row r="69" spans="4:8" x14ac:dyDescent="0.3">
      <c r="D69">
        <v>-33</v>
      </c>
      <c r="E69" s="19">
        <f t="shared" si="4"/>
        <v>12.490731123249766</v>
      </c>
      <c r="F69" s="68">
        <f t="shared" si="5"/>
        <v>-55.000000000000007</v>
      </c>
      <c r="G69" s="11">
        <f t="shared" si="6"/>
        <v>-1</v>
      </c>
      <c r="H69" s="31">
        <f t="shared" si="7"/>
        <v>12.87</v>
      </c>
    </row>
    <row r="70" spans="4:8" x14ac:dyDescent="0.3">
      <c r="D70">
        <v>-32</v>
      </c>
      <c r="E70" s="19">
        <f t="shared" si="4"/>
        <v>12.502224119514924</v>
      </c>
      <c r="F70" s="68">
        <f t="shared" si="5"/>
        <v>-54.777588048507589</v>
      </c>
      <c r="G70" s="11">
        <f t="shared" si="6"/>
        <v>-0.99595614633650154</v>
      </c>
      <c r="H70" s="31">
        <f t="shared" si="7"/>
        <v>12.87</v>
      </c>
    </row>
    <row r="71" spans="4:8" x14ac:dyDescent="0.3">
      <c r="D71">
        <v>-31</v>
      </c>
      <c r="E71" s="19">
        <f t="shared" si="4"/>
        <v>12.513717115780082</v>
      </c>
      <c r="F71" s="68">
        <f t="shared" si="5"/>
        <v>-53.62828842199179</v>
      </c>
      <c r="G71" s="11">
        <f t="shared" si="6"/>
        <v>-0.97505978949075967</v>
      </c>
      <c r="H71" s="31">
        <f t="shared" si="7"/>
        <v>12.87</v>
      </c>
    </row>
    <row r="72" spans="4:8" x14ac:dyDescent="0.3">
      <c r="D72">
        <v>-30</v>
      </c>
      <c r="E72" s="19">
        <f t="shared" si="4"/>
        <v>12.525210112045242</v>
      </c>
      <c r="F72" s="68">
        <f t="shared" si="5"/>
        <v>-52.478988795475814</v>
      </c>
      <c r="G72" s="11">
        <f t="shared" si="6"/>
        <v>-0.95416343264501469</v>
      </c>
      <c r="H72" s="31">
        <f t="shared" si="7"/>
        <v>12.87</v>
      </c>
    </row>
    <row r="73" spans="4:8" x14ac:dyDescent="0.3">
      <c r="D73">
        <v>-29</v>
      </c>
      <c r="E73" s="19">
        <f t="shared" si="4"/>
        <v>12.5367031083104</v>
      </c>
      <c r="F73" s="68">
        <f t="shared" si="5"/>
        <v>-51.329689168960016</v>
      </c>
      <c r="G73" s="11">
        <f t="shared" si="6"/>
        <v>-0.93326707579927293</v>
      </c>
      <c r="H73" s="31">
        <f t="shared" si="7"/>
        <v>12.87</v>
      </c>
    </row>
    <row r="74" spans="4:8" x14ac:dyDescent="0.3">
      <c r="D74">
        <v>-28</v>
      </c>
      <c r="E74" s="19">
        <f t="shared" si="4"/>
        <v>12.54819610457556</v>
      </c>
      <c r="F74" s="68">
        <f t="shared" si="5"/>
        <v>-50.18038954244404</v>
      </c>
      <c r="G74" s="11">
        <f t="shared" si="6"/>
        <v>-0.91237071895352784</v>
      </c>
      <c r="H74" s="31">
        <f t="shared" si="7"/>
        <v>12.87</v>
      </c>
    </row>
    <row r="75" spans="4:8" x14ac:dyDescent="0.3">
      <c r="D75">
        <v>-27</v>
      </c>
      <c r="E75" s="19">
        <f t="shared" si="4"/>
        <v>12.559689100840718</v>
      </c>
      <c r="F75" s="68">
        <f t="shared" si="5"/>
        <v>-49.031089915928241</v>
      </c>
      <c r="G75" s="11">
        <f t="shared" si="6"/>
        <v>-0.89147436210778608</v>
      </c>
      <c r="H75" s="31">
        <f t="shared" si="7"/>
        <v>12.87</v>
      </c>
    </row>
    <row r="76" spans="4:8" x14ac:dyDescent="0.3">
      <c r="D76">
        <v>-26</v>
      </c>
      <c r="E76" s="19">
        <f t="shared" si="4"/>
        <v>12.571182097105876</v>
      </c>
      <c r="F76" s="68">
        <f t="shared" si="5"/>
        <v>-47.881790289412443</v>
      </c>
      <c r="G76" s="11">
        <f t="shared" si="6"/>
        <v>-0.87057800526204432</v>
      </c>
      <c r="H76" s="31">
        <f t="shared" si="7"/>
        <v>12.87</v>
      </c>
    </row>
    <row r="77" spans="4:8" x14ac:dyDescent="0.3">
      <c r="D77">
        <v>-25</v>
      </c>
      <c r="E77" s="19">
        <f t="shared" si="4"/>
        <v>12.582675093371034</v>
      </c>
      <c r="F77" s="68">
        <f t="shared" si="5"/>
        <v>-46.732490662896645</v>
      </c>
      <c r="G77" s="11">
        <f t="shared" si="6"/>
        <v>-0.84968164841630256</v>
      </c>
      <c r="H77" s="31">
        <f t="shared" si="7"/>
        <v>12.87</v>
      </c>
    </row>
    <row r="78" spans="4:8" x14ac:dyDescent="0.3">
      <c r="D78">
        <v>-24</v>
      </c>
      <c r="E78" s="19">
        <f t="shared" si="4"/>
        <v>12.594168089636193</v>
      </c>
      <c r="F78" s="68">
        <f t="shared" si="5"/>
        <v>-45.583191036380668</v>
      </c>
      <c r="G78" s="11">
        <f t="shared" si="6"/>
        <v>-0.82878529157055747</v>
      </c>
      <c r="H78" s="31">
        <f t="shared" si="7"/>
        <v>12.87</v>
      </c>
    </row>
    <row r="79" spans="4:8" x14ac:dyDescent="0.3">
      <c r="D79">
        <v>-23</v>
      </c>
      <c r="E79" s="19">
        <f t="shared" si="4"/>
        <v>12.605661085901351</v>
      </c>
      <c r="F79" s="68">
        <f t="shared" si="5"/>
        <v>-44.43389140986487</v>
      </c>
      <c r="G79" s="11">
        <f t="shared" si="6"/>
        <v>-0.80788893472481571</v>
      </c>
      <c r="H79" s="31">
        <f t="shared" si="7"/>
        <v>12.87</v>
      </c>
    </row>
    <row r="80" spans="4:8" x14ac:dyDescent="0.3">
      <c r="D80">
        <v>-22</v>
      </c>
      <c r="E80" s="19">
        <f t="shared" si="4"/>
        <v>12.617154082166511</v>
      </c>
      <c r="F80" s="68">
        <f t="shared" si="5"/>
        <v>-43.284591783348894</v>
      </c>
      <c r="G80" s="11">
        <f t="shared" si="6"/>
        <v>-0.78699257787907073</v>
      </c>
      <c r="H80" s="31">
        <f t="shared" si="7"/>
        <v>12.87</v>
      </c>
    </row>
    <row r="81" spans="4:8" x14ac:dyDescent="0.3">
      <c r="D81">
        <v>-21</v>
      </c>
      <c r="E81" s="19">
        <f t="shared" si="4"/>
        <v>12.628647078431669</v>
      </c>
      <c r="F81" s="68">
        <f t="shared" si="5"/>
        <v>-42.135292156833096</v>
      </c>
      <c r="G81" s="11">
        <f t="shared" si="6"/>
        <v>-0.76609622103332886</v>
      </c>
      <c r="H81" s="31">
        <f t="shared" si="7"/>
        <v>12.87</v>
      </c>
    </row>
    <row r="82" spans="4:8" x14ac:dyDescent="0.3">
      <c r="D82">
        <v>-20</v>
      </c>
      <c r="E82" s="19">
        <f t="shared" si="4"/>
        <v>12.640140074696827</v>
      </c>
      <c r="F82" s="68">
        <f t="shared" si="5"/>
        <v>-40.985992530317297</v>
      </c>
      <c r="G82" s="11">
        <f t="shared" si="6"/>
        <v>-0.7451998641875871</v>
      </c>
      <c r="H82" s="31">
        <f t="shared" si="7"/>
        <v>12.87</v>
      </c>
    </row>
    <row r="83" spans="4:8" x14ac:dyDescent="0.3">
      <c r="D83">
        <v>-19</v>
      </c>
      <c r="E83" s="19">
        <f t="shared" si="4"/>
        <v>12.651633070961987</v>
      </c>
      <c r="F83" s="68">
        <f t="shared" si="5"/>
        <v>-39.836692903801321</v>
      </c>
      <c r="G83" s="11">
        <f t="shared" si="6"/>
        <v>-0.72430350734184212</v>
      </c>
      <c r="H83" s="31">
        <f t="shared" si="7"/>
        <v>12.87</v>
      </c>
    </row>
    <row r="84" spans="4:8" x14ac:dyDescent="0.3">
      <c r="D84">
        <v>-18</v>
      </c>
      <c r="E84" s="19">
        <f t="shared" si="4"/>
        <v>12.663126067227145</v>
      </c>
      <c r="F84" s="68">
        <f t="shared" si="5"/>
        <v>-38.687393277285523</v>
      </c>
      <c r="G84" s="11">
        <f t="shared" si="6"/>
        <v>-0.70340715049610036</v>
      </c>
      <c r="H84" s="31">
        <f t="shared" si="7"/>
        <v>12.87</v>
      </c>
    </row>
    <row r="85" spans="4:8" x14ac:dyDescent="0.3">
      <c r="D85">
        <v>-17</v>
      </c>
      <c r="E85" s="19">
        <f t="shared" si="4"/>
        <v>12.674619063492303</v>
      </c>
      <c r="F85" s="68">
        <f t="shared" si="5"/>
        <v>-37.538093650769724</v>
      </c>
      <c r="G85" s="11">
        <f t="shared" si="6"/>
        <v>-0.68251079365035849</v>
      </c>
      <c r="H85" s="31">
        <f t="shared" si="7"/>
        <v>12.87</v>
      </c>
    </row>
    <row r="86" spans="4:8" x14ac:dyDescent="0.3">
      <c r="D86">
        <v>-16</v>
      </c>
      <c r="E86" s="19">
        <f t="shared" si="4"/>
        <v>12.686112059757463</v>
      </c>
      <c r="F86" s="68">
        <f t="shared" si="5"/>
        <v>-36.388794024253748</v>
      </c>
      <c r="G86" s="11">
        <f t="shared" si="6"/>
        <v>-0.66161443680461351</v>
      </c>
      <c r="H86" s="31">
        <f t="shared" si="7"/>
        <v>12.87</v>
      </c>
    </row>
    <row r="87" spans="4:8" x14ac:dyDescent="0.3">
      <c r="D87">
        <v>-15</v>
      </c>
      <c r="E87" s="19">
        <f t="shared" si="4"/>
        <v>12.697605056022621</v>
      </c>
      <c r="F87" s="68">
        <f t="shared" si="5"/>
        <v>-35.23949439773795</v>
      </c>
      <c r="G87" s="11">
        <f t="shared" si="6"/>
        <v>-0.64071807995887176</v>
      </c>
      <c r="H87" s="31">
        <f t="shared" si="7"/>
        <v>12.87</v>
      </c>
    </row>
    <row r="88" spans="4:8" x14ac:dyDescent="0.3">
      <c r="D88">
        <v>-14</v>
      </c>
      <c r="E88" s="19">
        <f t="shared" si="4"/>
        <v>12.709098052287779</v>
      </c>
      <c r="F88" s="68">
        <f t="shared" si="5"/>
        <v>-34.090194771222151</v>
      </c>
      <c r="G88" s="11">
        <f t="shared" si="6"/>
        <v>-0.61982172311313</v>
      </c>
      <c r="H88" s="31">
        <f t="shared" si="7"/>
        <v>12.87</v>
      </c>
    </row>
    <row r="89" spans="4:8" x14ac:dyDescent="0.3">
      <c r="D89">
        <v>-13</v>
      </c>
      <c r="E89" s="19">
        <f t="shared" si="4"/>
        <v>12.720591048552938</v>
      </c>
      <c r="F89" s="68">
        <f t="shared" si="5"/>
        <v>-32.940895144706175</v>
      </c>
      <c r="G89" s="11">
        <f t="shared" si="6"/>
        <v>-0.59892536626738491</v>
      </c>
      <c r="H89" s="31">
        <f t="shared" si="7"/>
        <v>12.87</v>
      </c>
    </row>
    <row r="90" spans="4:8" x14ac:dyDescent="0.3">
      <c r="D90">
        <v>-12</v>
      </c>
      <c r="E90" s="19">
        <f t="shared" si="4"/>
        <v>12.732084044818096</v>
      </c>
      <c r="F90" s="68">
        <f t="shared" si="5"/>
        <v>-31.791595518190373</v>
      </c>
      <c r="G90" s="11">
        <f t="shared" si="6"/>
        <v>-0.57802900942164304</v>
      </c>
      <c r="H90" s="31">
        <f t="shared" si="7"/>
        <v>12.87</v>
      </c>
    </row>
    <row r="91" spans="4:8" x14ac:dyDescent="0.3">
      <c r="D91">
        <v>-11</v>
      </c>
      <c r="E91" s="19">
        <f t="shared" si="4"/>
        <v>12.743577041083254</v>
      </c>
      <c r="F91" s="68">
        <f t="shared" si="5"/>
        <v>-30.642295891674575</v>
      </c>
      <c r="G91" s="11">
        <f t="shared" si="6"/>
        <v>-0.55713265257590128</v>
      </c>
      <c r="H91" s="31">
        <f t="shared" si="7"/>
        <v>12.87</v>
      </c>
    </row>
    <row r="92" spans="4:8" x14ac:dyDescent="0.3">
      <c r="D92">
        <v>-10</v>
      </c>
      <c r="E92" s="19">
        <f t="shared" si="4"/>
        <v>12.755070037348414</v>
      </c>
      <c r="F92" s="68">
        <f t="shared" si="5"/>
        <v>-29.492996265158599</v>
      </c>
      <c r="G92" s="11">
        <f t="shared" si="6"/>
        <v>-0.5362362957301563</v>
      </c>
      <c r="H92" s="31">
        <f t="shared" si="7"/>
        <v>12.87</v>
      </c>
    </row>
    <row r="93" spans="4:8" x14ac:dyDescent="0.3">
      <c r="D93">
        <v>-9</v>
      </c>
      <c r="E93" s="19">
        <f t="shared" si="4"/>
        <v>12.766563033613572</v>
      </c>
      <c r="F93" s="68">
        <f t="shared" si="5"/>
        <v>-28.3436966386428</v>
      </c>
      <c r="G93" s="11">
        <f t="shared" si="6"/>
        <v>-0.51533993888441454</v>
      </c>
      <c r="H93" s="31">
        <f t="shared" si="7"/>
        <v>12.87</v>
      </c>
    </row>
    <row r="94" spans="4:8" x14ac:dyDescent="0.3">
      <c r="D94">
        <v>-8</v>
      </c>
      <c r="E94" s="19">
        <f t="shared" si="4"/>
        <v>12.77805602987873</v>
      </c>
      <c r="F94" s="68">
        <f t="shared" si="5"/>
        <v>-27.194397012127002</v>
      </c>
      <c r="G94" s="11">
        <f t="shared" si="6"/>
        <v>-0.49444358203867272</v>
      </c>
      <c r="H94" s="31">
        <f t="shared" si="7"/>
        <v>12.87</v>
      </c>
    </row>
    <row r="95" spans="4:8" x14ac:dyDescent="0.3">
      <c r="D95">
        <v>-7</v>
      </c>
      <c r="E95" s="19">
        <f t="shared" si="4"/>
        <v>12.78954902614389</v>
      </c>
      <c r="F95" s="68">
        <f t="shared" si="5"/>
        <v>-26.045097385611026</v>
      </c>
      <c r="G95" s="11">
        <f t="shared" si="6"/>
        <v>-0.47354722519292769</v>
      </c>
      <c r="H95" s="31">
        <f t="shared" si="7"/>
        <v>12.87</v>
      </c>
    </row>
    <row r="96" spans="4:8" x14ac:dyDescent="0.3">
      <c r="D96">
        <v>-6</v>
      </c>
      <c r="E96" s="19">
        <f t="shared" si="4"/>
        <v>12.801042022409048</v>
      </c>
      <c r="F96" s="68">
        <f t="shared" si="5"/>
        <v>-24.895797759095228</v>
      </c>
      <c r="G96" s="11">
        <f t="shared" si="6"/>
        <v>-0.45265086834718588</v>
      </c>
      <c r="H96" s="31">
        <f t="shared" si="7"/>
        <v>12.87</v>
      </c>
    </row>
    <row r="97" spans="4:8" x14ac:dyDescent="0.3">
      <c r="D97">
        <v>-5</v>
      </c>
      <c r="E97" s="19">
        <f t="shared" si="4"/>
        <v>12.812535018674206</v>
      </c>
      <c r="F97" s="68">
        <f t="shared" si="5"/>
        <v>-23.746498132579429</v>
      </c>
      <c r="G97" s="11">
        <f t="shared" si="6"/>
        <v>-0.43175451150144412</v>
      </c>
      <c r="H97" s="31">
        <f t="shared" si="7"/>
        <v>12.87</v>
      </c>
    </row>
    <row r="98" spans="4:8" x14ac:dyDescent="0.3">
      <c r="D98">
        <v>-4</v>
      </c>
      <c r="E98" s="19">
        <f t="shared" si="4"/>
        <v>12.824028014939366</v>
      </c>
      <c r="F98" s="68">
        <f t="shared" si="5"/>
        <v>-22.597198506063453</v>
      </c>
      <c r="G98" s="11">
        <f t="shared" si="6"/>
        <v>-0.41085815465569908</v>
      </c>
      <c r="H98" s="31">
        <f t="shared" si="7"/>
        <v>12.87</v>
      </c>
    </row>
    <row r="99" spans="4:8" x14ac:dyDescent="0.3">
      <c r="D99">
        <v>-3</v>
      </c>
      <c r="E99" s="19">
        <f t="shared" si="4"/>
        <v>12.835521011204523</v>
      </c>
      <c r="F99" s="68">
        <f t="shared" si="5"/>
        <v>-21.447898879547655</v>
      </c>
      <c r="G99" s="11">
        <f t="shared" si="6"/>
        <v>-0.38996179780995732</v>
      </c>
      <c r="H99" s="31">
        <f t="shared" si="7"/>
        <v>12.87</v>
      </c>
    </row>
    <row r="100" spans="4:8" x14ac:dyDescent="0.3">
      <c r="D100">
        <v>-2</v>
      </c>
      <c r="E100" s="19">
        <f t="shared" si="4"/>
        <v>12.847014007469681</v>
      </c>
      <c r="F100" s="68">
        <f t="shared" si="5"/>
        <v>-20.298599253031856</v>
      </c>
      <c r="G100" s="11">
        <f t="shared" si="6"/>
        <v>-0.36906544096421551</v>
      </c>
      <c r="H100" s="31">
        <f t="shared" si="7"/>
        <v>12.87</v>
      </c>
    </row>
    <row r="101" spans="4:8" x14ac:dyDescent="0.3">
      <c r="D101">
        <v>-1</v>
      </c>
      <c r="E101" s="19">
        <f t="shared" si="4"/>
        <v>12.858507003734841</v>
      </c>
      <c r="F101" s="68">
        <f t="shared" si="5"/>
        <v>-19.14929962651588</v>
      </c>
      <c r="G101" s="11">
        <f t="shared" si="6"/>
        <v>-0.34816908411847053</v>
      </c>
      <c r="H101" s="31">
        <f t="shared" si="7"/>
        <v>12.87</v>
      </c>
    </row>
    <row r="102" spans="4:8" x14ac:dyDescent="0.3">
      <c r="D102">
        <v>0</v>
      </c>
      <c r="E102" s="19">
        <f t="shared" si="4"/>
        <v>12.87</v>
      </c>
      <c r="F102" s="68">
        <f t="shared" si="5"/>
        <v>-18.000000000000082</v>
      </c>
      <c r="G102" s="11">
        <f t="shared" si="6"/>
        <v>-0.32727272727272871</v>
      </c>
      <c r="H102" s="31">
        <f t="shared" si="7"/>
        <v>12.87</v>
      </c>
    </row>
    <row r="103" spans="4:8" x14ac:dyDescent="0.3">
      <c r="D103">
        <v>1</v>
      </c>
      <c r="E103" s="19">
        <f t="shared" si="4"/>
        <v>12.881492996265157</v>
      </c>
      <c r="F103" s="68">
        <f t="shared" si="5"/>
        <v>-16.850700373484283</v>
      </c>
      <c r="G103" s="11">
        <f t="shared" si="6"/>
        <v>-0.30637637042698695</v>
      </c>
      <c r="H103" s="31">
        <f t="shared" si="7"/>
        <v>12.87</v>
      </c>
    </row>
    <row r="104" spans="4:8" x14ac:dyDescent="0.3">
      <c r="D104">
        <v>2</v>
      </c>
      <c r="E104" s="19">
        <f t="shared" si="4"/>
        <v>12.892985992530317</v>
      </c>
      <c r="F104" s="68">
        <f t="shared" si="5"/>
        <v>-15.701400746968307</v>
      </c>
      <c r="G104" s="11">
        <f t="shared" si="6"/>
        <v>-0.28548001358124192</v>
      </c>
      <c r="H104" s="31">
        <f t="shared" si="7"/>
        <v>12.87</v>
      </c>
    </row>
    <row r="105" spans="4:8" x14ac:dyDescent="0.3">
      <c r="D105">
        <v>3</v>
      </c>
      <c r="E105" s="19">
        <f t="shared" si="4"/>
        <v>12.904478988795475</v>
      </c>
      <c r="F105" s="68">
        <f t="shared" si="5"/>
        <v>-14.552101120452509</v>
      </c>
      <c r="G105" s="11">
        <f t="shared" si="6"/>
        <v>-0.26458365673550011</v>
      </c>
      <c r="H105" s="31">
        <f t="shared" si="7"/>
        <v>12.87</v>
      </c>
    </row>
    <row r="106" spans="4:8" x14ac:dyDescent="0.3">
      <c r="D106">
        <v>4</v>
      </c>
      <c r="E106" s="19">
        <f t="shared" si="4"/>
        <v>12.915971985060633</v>
      </c>
      <c r="F106" s="68">
        <f t="shared" si="5"/>
        <v>-13.40280149393671</v>
      </c>
      <c r="G106" s="11">
        <f t="shared" si="6"/>
        <v>-0.24368729988975835</v>
      </c>
      <c r="H106" s="31">
        <f t="shared" si="7"/>
        <v>12.87</v>
      </c>
    </row>
    <row r="107" spans="4:8" x14ac:dyDescent="0.3">
      <c r="D107">
        <v>5</v>
      </c>
      <c r="E107" s="19">
        <f t="shared" si="4"/>
        <v>12.927464981325793</v>
      </c>
      <c r="F107" s="68">
        <f t="shared" si="5"/>
        <v>-12.253501867420734</v>
      </c>
      <c r="G107" s="11">
        <f t="shared" si="6"/>
        <v>-0.22279094304401331</v>
      </c>
      <c r="H107" s="31">
        <f t="shared" si="7"/>
        <v>12.87</v>
      </c>
    </row>
    <row r="108" spans="4:8" x14ac:dyDescent="0.3">
      <c r="D108">
        <v>6</v>
      </c>
      <c r="E108" s="19">
        <f t="shared" si="4"/>
        <v>12.938957977590951</v>
      </c>
      <c r="F108" s="68">
        <f t="shared" si="5"/>
        <v>-11.104202240904936</v>
      </c>
      <c r="G108" s="11">
        <f t="shared" si="6"/>
        <v>-0.20189458619827153</v>
      </c>
      <c r="H108" s="31">
        <f t="shared" si="7"/>
        <v>12.87</v>
      </c>
    </row>
    <row r="109" spans="4:8" x14ac:dyDescent="0.3">
      <c r="D109">
        <v>7</v>
      </c>
      <c r="E109" s="19">
        <f t="shared" si="4"/>
        <v>12.950450973856109</v>
      </c>
      <c r="F109" s="68">
        <f t="shared" si="5"/>
        <v>-9.9549026143891375</v>
      </c>
      <c r="G109" s="11">
        <f t="shared" si="6"/>
        <v>-0.18099822935252974</v>
      </c>
      <c r="H109" s="31">
        <f t="shared" si="7"/>
        <v>12.87</v>
      </c>
    </row>
    <row r="110" spans="4:8" x14ac:dyDescent="0.3">
      <c r="D110">
        <v>8</v>
      </c>
      <c r="E110" s="19">
        <f t="shared" si="4"/>
        <v>12.961943970121268</v>
      </c>
      <c r="F110" s="68">
        <f t="shared" si="5"/>
        <v>-8.8056029878731614</v>
      </c>
      <c r="G110" s="11">
        <f t="shared" si="6"/>
        <v>-0.16010187250678473</v>
      </c>
      <c r="H110" s="31">
        <f t="shared" si="7"/>
        <v>12.87</v>
      </c>
    </row>
    <row r="111" spans="4:8" x14ac:dyDescent="0.3">
      <c r="D111">
        <v>9</v>
      </c>
      <c r="E111" s="19">
        <f t="shared" si="4"/>
        <v>12.973436966386426</v>
      </c>
      <c r="F111" s="68">
        <f t="shared" si="5"/>
        <v>-7.6563033613573639</v>
      </c>
      <c r="G111" s="11">
        <f t="shared" si="6"/>
        <v>-0.13920551566104297</v>
      </c>
      <c r="H111" s="31">
        <f t="shared" si="7"/>
        <v>12.87</v>
      </c>
    </row>
    <row r="112" spans="4:8" x14ac:dyDescent="0.3">
      <c r="D112">
        <v>10</v>
      </c>
      <c r="E112" s="19">
        <f t="shared" si="4"/>
        <v>12.984929962651584</v>
      </c>
      <c r="F112" s="68">
        <f t="shared" si="5"/>
        <v>-6.5070037348415655</v>
      </c>
      <c r="G112" s="11">
        <f t="shared" si="6"/>
        <v>-0.11830915881530117</v>
      </c>
      <c r="H112" s="31">
        <f t="shared" si="7"/>
        <v>12.87</v>
      </c>
    </row>
    <row r="113" spans="4:8" x14ac:dyDescent="0.3">
      <c r="D113">
        <v>11</v>
      </c>
      <c r="E113" s="19">
        <f t="shared" si="4"/>
        <v>12.996422958916744</v>
      </c>
      <c r="F113" s="68">
        <f t="shared" si="5"/>
        <v>-5.3577041083255894</v>
      </c>
      <c r="G113" s="11">
        <f t="shared" si="6"/>
        <v>-9.7412801969556165E-2</v>
      </c>
      <c r="H113" s="31">
        <f t="shared" si="7"/>
        <v>12.87</v>
      </c>
    </row>
    <row r="114" spans="4:8" x14ac:dyDescent="0.3">
      <c r="D114">
        <v>12</v>
      </c>
      <c r="E114" s="19">
        <f t="shared" si="4"/>
        <v>13.007915955181902</v>
      </c>
      <c r="F114" s="68">
        <f t="shared" si="5"/>
        <v>-4.208404481809791</v>
      </c>
      <c r="G114" s="11">
        <f t="shared" si="6"/>
        <v>-7.6516445123814378E-2</v>
      </c>
      <c r="H114" s="31">
        <f t="shared" si="7"/>
        <v>12.87</v>
      </c>
    </row>
    <row r="115" spans="4:8" x14ac:dyDescent="0.3">
      <c r="D115">
        <v>13</v>
      </c>
      <c r="E115" s="19">
        <f t="shared" si="4"/>
        <v>13.01940895144706</v>
      </c>
      <c r="F115" s="68">
        <f t="shared" si="5"/>
        <v>-3.0591048552939926</v>
      </c>
      <c r="G115" s="11">
        <f t="shared" si="6"/>
        <v>-5.5620088278072584E-2</v>
      </c>
      <c r="H115" s="31">
        <f t="shared" si="7"/>
        <v>12.87</v>
      </c>
    </row>
    <row r="116" spans="4:8" x14ac:dyDescent="0.3">
      <c r="D116">
        <v>14</v>
      </c>
      <c r="E116" s="19">
        <f t="shared" si="4"/>
        <v>13.03090194771222</v>
      </c>
      <c r="F116" s="68">
        <f t="shared" si="5"/>
        <v>-1.9098052287780165</v>
      </c>
      <c r="G116" s="11">
        <f t="shared" si="6"/>
        <v>-3.472373143232757E-2</v>
      </c>
      <c r="H116" s="31">
        <f t="shared" si="7"/>
        <v>12.87</v>
      </c>
    </row>
    <row r="117" spans="4:8" x14ac:dyDescent="0.3">
      <c r="D117">
        <v>15</v>
      </c>
      <c r="E117" s="19">
        <f t="shared" si="4"/>
        <v>13.042394943977378</v>
      </c>
      <c r="F117" s="68">
        <f t="shared" si="5"/>
        <v>-0.76050560226221808</v>
      </c>
      <c r="G117" s="11">
        <f t="shared" si="6"/>
        <v>-1.3827374586585782E-2</v>
      </c>
      <c r="H117" s="31">
        <f t="shared" si="7"/>
        <v>12.87</v>
      </c>
    </row>
    <row r="118" spans="4:8" x14ac:dyDescent="0.3">
      <c r="D118">
        <v>16</v>
      </c>
      <c r="E118" s="19">
        <f t="shared" si="4"/>
        <v>13.053887940242536</v>
      </c>
      <c r="F118" s="68">
        <f t="shared" si="5"/>
        <v>0.38879402425358034</v>
      </c>
      <c r="G118" s="11">
        <f t="shared" si="6"/>
        <v>7.0689822591560054E-3</v>
      </c>
      <c r="H118" s="31">
        <f t="shared" si="7"/>
        <v>12.87</v>
      </c>
    </row>
    <row r="119" spans="4:8" x14ac:dyDescent="0.3">
      <c r="D119">
        <v>17</v>
      </c>
      <c r="E119" s="19">
        <f t="shared" si="4"/>
        <v>13.065380936507696</v>
      </c>
      <c r="F119" s="68">
        <f t="shared" si="5"/>
        <v>1.5380936507695564</v>
      </c>
      <c r="G119" s="11">
        <f t="shared" si="6"/>
        <v>2.7965339104901021E-2</v>
      </c>
      <c r="H119" s="31">
        <f t="shared" si="7"/>
        <v>12.87</v>
      </c>
    </row>
    <row r="120" spans="4:8" x14ac:dyDescent="0.3">
      <c r="D120">
        <v>18</v>
      </c>
      <c r="E120" s="19">
        <f t="shared" si="4"/>
        <v>13.076873932772854</v>
      </c>
      <c r="F120" s="68">
        <f t="shared" si="5"/>
        <v>2.6873932772853548</v>
      </c>
      <c r="G120" s="11">
        <f t="shared" si="6"/>
        <v>4.8861695950642811E-2</v>
      </c>
      <c r="H120" s="31">
        <f t="shared" si="7"/>
        <v>12.87</v>
      </c>
    </row>
    <row r="121" spans="4:8" x14ac:dyDescent="0.3">
      <c r="D121">
        <v>19</v>
      </c>
      <c r="E121" s="19">
        <f t="shared" si="4"/>
        <v>13.088366929038012</v>
      </c>
      <c r="F121" s="68">
        <f t="shared" si="5"/>
        <v>3.8366929038011532</v>
      </c>
      <c r="G121" s="11">
        <f t="shared" si="6"/>
        <v>6.9758052796384598E-2</v>
      </c>
      <c r="H121" s="31">
        <f t="shared" si="7"/>
        <v>12.87</v>
      </c>
    </row>
    <row r="122" spans="4:8" x14ac:dyDescent="0.3">
      <c r="D122">
        <v>20</v>
      </c>
      <c r="E122" s="19">
        <f t="shared" si="4"/>
        <v>13.099859925303171</v>
      </c>
      <c r="F122" s="68">
        <f t="shared" si="5"/>
        <v>4.9859925303171293</v>
      </c>
      <c r="G122" s="11">
        <f t="shared" si="6"/>
        <v>9.0654409642129619E-2</v>
      </c>
      <c r="H122" s="31">
        <f t="shared" si="7"/>
        <v>12.87</v>
      </c>
    </row>
    <row r="123" spans="4:8" x14ac:dyDescent="0.3">
      <c r="D123">
        <v>21</v>
      </c>
      <c r="E123" s="19">
        <f t="shared" si="4"/>
        <v>13.111352921568329</v>
      </c>
      <c r="F123" s="68">
        <f t="shared" si="5"/>
        <v>6.1352921568329277</v>
      </c>
      <c r="G123" s="11">
        <f t="shared" si="6"/>
        <v>0.11155076648787141</v>
      </c>
      <c r="H123" s="31">
        <f t="shared" si="7"/>
        <v>12.87</v>
      </c>
    </row>
    <row r="124" spans="4:8" x14ac:dyDescent="0.3">
      <c r="D124">
        <v>22</v>
      </c>
      <c r="E124" s="19">
        <f t="shared" si="4"/>
        <v>13.122845917833487</v>
      </c>
      <c r="F124" s="68">
        <f t="shared" si="5"/>
        <v>7.2845917833487261</v>
      </c>
      <c r="G124" s="11">
        <f t="shared" si="6"/>
        <v>0.13244712333361319</v>
      </c>
      <c r="H124" s="31">
        <f t="shared" si="7"/>
        <v>12.87</v>
      </c>
    </row>
    <row r="125" spans="4:8" x14ac:dyDescent="0.3">
      <c r="D125">
        <v>23</v>
      </c>
      <c r="E125" s="19">
        <f t="shared" si="4"/>
        <v>13.134338914098647</v>
      </c>
      <c r="F125" s="68">
        <f t="shared" si="5"/>
        <v>8.4338914098647031</v>
      </c>
      <c r="G125" s="11">
        <f t="shared" si="6"/>
        <v>0.15334348017935823</v>
      </c>
      <c r="H125" s="31">
        <f t="shared" si="7"/>
        <v>12.87</v>
      </c>
    </row>
    <row r="126" spans="4:8" x14ac:dyDescent="0.3">
      <c r="D126">
        <v>24</v>
      </c>
      <c r="E126" s="19">
        <f t="shared" si="4"/>
        <v>13.145831910363805</v>
      </c>
      <c r="F126" s="68">
        <f t="shared" si="5"/>
        <v>9.5831910363805015</v>
      </c>
      <c r="G126" s="11">
        <f t="shared" si="6"/>
        <v>0.17423983702510001</v>
      </c>
      <c r="H126" s="31">
        <f t="shared" si="7"/>
        <v>12.87</v>
      </c>
    </row>
    <row r="127" spans="4:8" x14ac:dyDescent="0.3">
      <c r="D127">
        <v>25</v>
      </c>
      <c r="E127" s="19">
        <f t="shared" si="4"/>
        <v>13.157324906628965</v>
      </c>
      <c r="F127" s="68">
        <f t="shared" si="5"/>
        <v>10.732490662896478</v>
      </c>
      <c r="G127" s="11">
        <f t="shared" si="6"/>
        <v>0.19513619387084502</v>
      </c>
      <c r="H127" s="31">
        <f t="shared" si="7"/>
        <v>12.87</v>
      </c>
    </row>
    <row r="128" spans="4:8" x14ac:dyDescent="0.3">
      <c r="D128">
        <v>26</v>
      </c>
      <c r="E128" s="19">
        <f t="shared" si="4"/>
        <v>13.168817902894123</v>
      </c>
      <c r="F128" s="68">
        <f t="shared" si="5"/>
        <v>11.881790289412276</v>
      </c>
      <c r="G128" s="11">
        <f t="shared" si="6"/>
        <v>0.21603255071658681</v>
      </c>
      <c r="H128" s="31">
        <f t="shared" si="7"/>
        <v>12.87</v>
      </c>
    </row>
    <row r="129" spans="4:8" x14ac:dyDescent="0.3">
      <c r="D129">
        <v>27</v>
      </c>
      <c r="E129" s="19">
        <f t="shared" si="4"/>
        <v>13.180310899159281</v>
      </c>
      <c r="F129" s="68">
        <f t="shared" si="5"/>
        <v>13.031089915928074</v>
      </c>
      <c r="G129" s="11">
        <f t="shared" si="6"/>
        <v>0.23692890756232859</v>
      </c>
      <c r="H129" s="31">
        <f t="shared" si="7"/>
        <v>12.87</v>
      </c>
    </row>
    <row r="130" spans="4:8" x14ac:dyDescent="0.3">
      <c r="D130">
        <v>28</v>
      </c>
      <c r="E130" s="19">
        <f t="shared" ref="E130:E193" si="8">$B$1+D130*$B$7</f>
        <v>13.191803895424439</v>
      </c>
      <c r="F130" s="68">
        <f t="shared" si="5"/>
        <v>14.180389542443873</v>
      </c>
      <c r="G130" s="11">
        <f t="shared" si="6"/>
        <v>0.25782526440807041</v>
      </c>
      <c r="H130" s="31">
        <f t="shared" si="7"/>
        <v>12.87</v>
      </c>
    </row>
    <row r="131" spans="4:8" x14ac:dyDescent="0.3">
      <c r="D131">
        <v>29</v>
      </c>
      <c r="E131" s="19">
        <f t="shared" si="8"/>
        <v>13.203296891689599</v>
      </c>
      <c r="F131" s="68">
        <f t="shared" ref="F131:F194" si="9">IF($B$4="CALL",MAX(E131-$B$2,0)-$B$3,MAX($B$2-E131,0)-$B$3)*$B$9</f>
        <v>15.329689168959849</v>
      </c>
      <c r="G131" s="11">
        <f t="shared" ref="G131:G194" si="10">F131/$B$10</f>
        <v>0.27872162125381539</v>
      </c>
      <c r="H131" s="31">
        <f t="shared" ref="H131:H194" si="11">$B$1</f>
        <v>12.87</v>
      </c>
    </row>
    <row r="132" spans="4:8" x14ac:dyDescent="0.3">
      <c r="D132">
        <v>30</v>
      </c>
      <c r="E132" s="19">
        <f t="shared" si="8"/>
        <v>13.214789887954757</v>
      </c>
      <c r="F132" s="68">
        <f t="shared" si="9"/>
        <v>16.478988795475647</v>
      </c>
      <c r="G132" s="11">
        <f t="shared" si="10"/>
        <v>0.2996179780995572</v>
      </c>
      <c r="H132" s="31">
        <f t="shared" si="11"/>
        <v>12.87</v>
      </c>
    </row>
    <row r="133" spans="4:8" x14ac:dyDescent="0.3">
      <c r="D133">
        <v>31</v>
      </c>
      <c r="E133" s="19">
        <f t="shared" si="8"/>
        <v>13.226282884219916</v>
      </c>
      <c r="F133" s="68">
        <f t="shared" si="9"/>
        <v>17.628288421991623</v>
      </c>
      <c r="G133" s="11">
        <f t="shared" si="10"/>
        <v>0.32051433494530218</v>
      </c>
      <c r="H133" s="31">
        <f t="shared" si="11"/>
        <v>12.87</v>
      </c>
    </row>
    <row r="134" spans="4:8" x14ac:dyDescent="0.3">
      <c r="D134">
        <v>32</v>
      </c>
      <c r="E134" s="19">
        <f t="shared" si="8"/>
        <v>13.237775880485074</v>
      </c>
      <c r="F134" s="68">
        <f t="shared" si="9"/>
        <v>18.777588048507422</v>
      </c>
      <c r="G134" s="11">
        <f t="shared" si="10"/>
        <v>0.341410691791044</v>
      </c>
      <c r="H134" s="31">
        <f t="shared" si="11"/>
        <v>12.87</v>
      </c>
    </row>
    <row r="135" spans="4:8" x14ac:dyDescent="0.3">
      <c r="D135">
        <v>33</v>
      </c>
      <c r="E135" s="19">
        <f t="shared" si="8"/>
        <v>13.249268876750232</v>
      </c>
      <c r="F135" s="68">
        <f t="shared" si="9"/>
        <v>19.92688767502322</v>
      </c>
      <c r="G135" s="11">
        <f t="shared" si="10"/>
        <v>0.36230704863678576</v>
      </c>
      <c r="H135" s="31">
        <f t="shared" si="11"/>
        <v>12.87</v>
      </c>
    </row>
    <row r="136" spans="4:8" x14ac:dyDescent="0.3">
      <c r="D136">
        <v>34</v>
      </c>
      <c r="E136" s="19">
        <f t="shared" si="8"/>
        <v>13.260761873015392</v>
      </c>
      <c r="F136" s="68">
        <f t="shared" si="9"/>
        <v>21.076187301539196</v>
      </c>
      <c r="G136" s="11">
        <f t="shared" si="10"/>
        <v>0.38320340548253079</v>
      </c>
      <c r="H136" s="31">
        <f t="shared" si="11"/>
        <v>12.87</v>
      </c>
    </row>
    <row r="137" spans="4:8" x14ac:dyDescent="0.3">
      <c r="D137">
        <v>35</v>
      </c>
      <c r="E137" s="19">
        <f t="shared" si="8"/>
        <v>13.27225486928055</v>
      </c>
      <c r="F137" s="68">
        <f t="shared" si="9"/>
        <v>22.225486928054995</v>
      </c>
      <c r="G137" s="11">
        <f t="shared" si="10"/>
        <v>0.4040997623282726</v>
      </c>
      <c r="H137" s="31">
        <f t="shared" si="11"/>
        <v>12.87</v>
      </c>
    </row>
    <row r="138" spans="4:8" x14ac:dyDescent="0.3">
      <c r="D138">
        <v>36</v>
      </c>
      <c r="E138" s="19">
        <f t="shared" si="8"/>
        <v>13.283747865545708</v>
      </c>
      <c r="F138" s="68">
        <f t="shared" si="9"/>
        <v>23.374786554570793</v>
      </c>
      <c r="G138" s="11">
        <f t="shared" si="10"/>
        <v>0.42499611917401436</v>
      </c>
      <c r="H138" s="31">
        <f t="shared" si="11"/>
        <v>12.87</v>
      </c>
    </row>
    <row r="139" spans="4:8" x14ac:dyDescent="0.3">
      <c r="D139">
        <v>37</v>
      </c>
      <c r="E139" s="19">
        <f t="shared" si="8"/>
        <v>13.295240861810868</v>
      </c>
      <c r="F139" s="68">
        <f t="shared" si="9"/>
        <v>24.524086181086769</v>
      </c>
      <c r="G139" s="11">
        <f t="shared" si="10"/>
        <v>0.4458924760197594</v>
      </c>
      <c r="H139" s="31">
        <f t="shared" si="11"/>
        <v>12.87</v>
      </c>
    </row>
    <row r="140" spans="4:8" x14ac:dyDescent="0.3">
      <c r="D140">
        <v>38</v>
      </c>
      <c r="E140" s="19">
        <f t="shared" si="8"/>
        <v>13.306733858076026</v>
      </c>
      <c r="F140" s="68">
        <f t="shared" si="9"/>
        <v>25.673385807602568</v>
      </c>
      <c r="G140" s="11">
        <f t="shared" si="10"/>
        <v>0.46678883286550116</v>
      </c>
      <c r="H140" s="31">
        <f t="shared" si="11"/>
        <v>12.87</v>
      </c>
    </row>
    <row r="141" spans="4:8" x14ac:dyDescent="0.3">
      <c r="D141">
        <v>39</v>
      </c>
      <c r="E141" s="19">
        <f t="shared" si="8"/>
        <v>13.318226854341184</v>
      </c>
      <c r="F141" s="68">
        <f t="shared" si="9"/>
        <v>26.822685434118366</v>
      </c>
      <c r="G141" s="11">
        <f t="shared" si="10"/>
        <v>0.48768518971124297</v>
      </c>
      <c r="H141" s="31">
        <f t="shared" si="11"/>
        <v>12.87</v>
      </c>
    </row>
    <row r="142" spans="4:8" x14ac:dyDescent="0.3">
      <c r="D142">
        <v>40</v>
      </c>
      <c r="E142" s="19">
        <f t="shared" si="8"/>
        <v>13.329719850606343</v>
      </c>
      <c r="F142" s="68">
        <f t="shared" si="9"/>
        <v>27.971985060634342</v>
      </c>
      <c r="G142" s="11">
        <f t="shared" si="10"/>
        <v>0.50858154655698795</v>
      </c>
      <c r="H142" s="31">
        <f t="shared" si="11"/>
        <v>12.87</v>
      </c>
    </row>
    <row r="143" spans="4:8" x14ac:dyDescent="0.3">
      <c r="D143">
        <v>41</v>
      </c>
      <c r="E143" s="19">
        <f t="shared" si="8"/>
        <v>13.341212846871501</v>
      </c>
      <c r="F143" s="68">
        <f t="shared" si="9"/>
        <v>29.121284687150141</v>
      </c>
      <c r="G143" s="11">
        <f t="shared" si="10"/>
        <v>0.52947790340272971</v>
      </c>
      <c r="H143" s="31">
        <f t="shared" si="11"/>
        <v>12.87</v>
      </c>
    </row>
    <row r="144" spans="4:8" x14ac:dyDescent="0.3">
      <c r="D144">
        <v>42</v>
      </c>
      <c r="E144" s="19">
        <f t="shared" si="8"/>
        <v>13.352705843136659</v>
      </c>
      <c r="F144" s="68">
        <f t="shared" si="9"/>
        <v>30.270584313665939</v>
      </c>
      <c r="G144" s="11">
        <f t="shared" si="10"/>
        <v>0.55037426024847158</v>
      </c>
      <c r="H144" s="31">
        <f t="shared" si="11"/>
        <v>12.87</v>
      </c>
    </row>
    <row r="145" spans="4:8" x14ac:dyDescent="0.3">
      <c r="D145">
        <v>43</v>
      </c>
      <c r="E145" s="19">
        <f t="shared" si="8"/>
        <v>13.364198839401819</v>
      </c>
      <c r="F145" s="68">
        <f t="shared" si="9"/>
        <v>31.419883940181915</v>
      </c>
      <c r="G145" s="11">
        <f t="shared" si="10"/>
        <v>0.57127061709421656</v>
      </c>
      <c r="H145" s="31">
        <f t="shared" si="11"/>
        <v>12.87</v>
      </c>
    </row>
    <row r="146" spans="4:8" x14ac:dyDescent="0.3">
      <c r="D146">
        <v>44</v>
      </c>
      <c r="E146" s="19">
        <f t="shared" si="8"/>
        <v>13.375691835666977</v>
      </c>
      <c r="F146" s="68">
        <f t="shared" si="9"/>
        <v>32.56918356669771</v>
      </c>
      <c r="G146" s="11">
        <f t="shared" si="10"/>
        <v>0.59216697393995832</v>
      </c>
      <c r="H146" s="31">
        <f t="shared" si="11"/>
        <v>12.87</v>
      </c>
    </row>
    <row r="147" spans="4:8" x14ac:dyDescent="0.3">
      <c r="D147">
        <v>45</v>
      </c>
      <c r="E147" s="19">
        <f t="shared" si="8"/>
        <v>13.387184831932135</v>
      </c>
      <c r="F147" s="68">
        <f t="shared" si="9"/>
        <v>33.718483193213508</v>
      </c>
      <c r="G147" s="11">
        <f t="shared" si="10"/>
        <v>0.61306333078570008</v>
      </c>
      <c r="H147" s="31">
        <f t="shared" si="11"/>
        <v>12.87</v>
      </c>
    </row>
    <row r="148" spans="4:8" x14ac:dyDescent="0.3">
      <c r="D148">
        <v>46</v>
      </c>
      <c r="E148" s="19">
        <f t="shared" si="8"/>
        <v>13.398677828197295</v>
      </c>
      <c r="F148" s="68">
        <f t="shared" si="9"/>
        <v>34.867782819729484</v>
      </c>
      <c r="G148" s="11">
        <f t="shared" si="10"/>
        <v>0.63395968763144506</v>
      </c>
      <c r="H148" s="31">
        <f t="shared" si="11"/>
        <v>12.87</v>
      </c>
    </row>
    <row r="149" spans="4:8" x14ac:dyDescent="0.3">
      <c r="D149">
        <v>47</v>
      </c>
      <c r="E149" s="19">
        <f t="shared" si="8"/>
        <v>13.410170824462453</v>
      </c>
      <c r="F149" s="68">
        <f t="shared" si="9"/>
        <v>36.017082446245283</v>
      </c>
      <c r="G149" s="11">
        <f t="shared" si="10"/>
        <v>0.65485604447718693</v>
      </c>
      <c r="H149" s="31">
        <f t="shared" si="11"/>
        <v>12.87</v>
      </c>
    </row>
    <row r="150" spans="4:8" x14ac:dyDescent="0.3">
      <c r="D150">
        <v>48</v>
      </c>
      <c r="E150" s="19">
        <f t="shared" si="8"/>
        <v>13.421663820727611</v>
      </c>
      <c r="F150" s="68">
        <f t="shared" si="9"/>
        <v>37.166382072761081</v>
      </c>
      <c r="G150" s="11">
        <f t="shared" si="10"/>
        <v>0.67575240132292869</v>
      </c>
      <c r="H150" s="31">
        <f t="shared" si="11"/>
        <v>12.87</v>
      </c>
    </row>
    <row r="151" spans="4:8" x14ac:dyDescent="0.3">
      <c r="D151">
        <v>49</v>
      </c>
      <c r="E151" s="19">
        <f t="shared" si="8"/>
        <v>13.433156816992771</v>
      </c>
      <c r="F151" s="68">
        <f t="shared" si="9"/>
        <v>38.315681699277057</v>
      </c>
      <c r="G151" s="11">
        <f t="shared" si="10"/>
        <v>0.69664875816867367</v>
      </c>
      <c r="H151" s="31">
        <f t="shared" si="11"/>
        <v>12.87</v>
      </c>
    </row>
    <row r="152" spans="4:8" x14ac:dyDescent="0.3">
      <c r="D152">
        <v>50</v>
      </c>
      <c r="E152" s="19">
        <f t="shared" si="8"/>
        <v>13.444649813257929</v>
      </c>
      <c r="F152" s="68">
        <f t="shared" si="9"/>
        <v>39.464981325792856</v>
      </c>
      <c r="G152" s="11">
        <f t="shared" si="10"/>
        <v>0.71754511501441542</v>
      </c>
      <c r="H152" s="31">
        <f t="shared" si="11"/>
        <v>12.87</v>
      </c>
    </row>
    <row r="153" spans="4:8" x14ac:dyDescent="0.3">
      <c r="D153">
        <v>51</v>
      </c>
      <c r="E153" s="19">
        <f t="shared" si="8"/>
        <v>13.456142809523087</v>
      </c>
      <c r="F153" s="68">
        <f t="shared" si="9"/>
        <v>40.614280952308654</v>
      </c>
      <c r="G153" s="11">
        <f t="shared" si="10"/>
        <v>0.73844147186015729</v>
      </c>
      <c r="H153" s="31">
        <f t="shared" si="11"/>
        <v>12.87</v>
      </c>
    </row>
    <row r="154" spans="4:8" x14ac:dyDescent="0.3">
      <c r="D154">
        <v>52</v>
      </c>
      <c r="E154" s="19">
        <f t="shared" si="8"/>
        <v>13.467635805788246</v>
      </c>
      <c r="F154" s="68">
        <f t="shared" si="9"/>
        <v>41.76358057882463</v>
      </c>
      <c r="G154" s="11">
        <f t="shared" si="10"/>
        <v>0.75933782870590227</v>
      </c>
      <c r="H154" s="31">
        <f t="shared" si="11"/>
        <v>12.87</v>
      </c>
    </row>
    <row r="155" spans="4:8" x14ac:dyDescent="0.3">
      <c r="D155">
        <v>53</v>
      </c>
      <c r="E155" s="19">
        <f t="shared" si="8"/>
        <v>13.479128802053404</v>
      </c>
      <c r="F155" s="68">
        <f t="shared" si="9"/>
        <v>42.912880205340429</v>
      </c>
      <c r="G155" s="11">
        <f t="shared" si="10"/>
        <v>0.78023418555164403</v>
      </c>
      <c r="H155" s="31">
        <f t="shared" si="11"/>
        <v>12.87</v>
      </c>
    </row>
    <row r="156" spans="4:8" x14ac:dyDescent="0.3">
      <c r="D156">
        <v>54</v>
      </c>
      <c r="E156" s="19">
        <f t="shared" si="8"/>
        <v>13.490621798318562</v>
      </c>
      <c r="F156" s="68">
        <f t="shared" si="9"/>
        <v>44.062179831856227</v>
      </c>
      <c r="G156" s="11">
        <f t="shared" si="10"/>
        <v>0.80113054239738579</v>
      </c>
      <c r="H156" s="31">
        <f t="shared" si="11"/>
        <v>12.87</v>
      </c>
    </row>
    <row r="157" spans="4:8" x14ac:dyDescent="0.3">
      <c r="D157">
        <v>55</v>
      </c>
      <c r="E157" s="19">
        <f t="shared" si="8"/>
        <v>13.502114794583722</v>
      </c>
      <c r="F157" s="68">
        <f t="shared" si="9"/>
        <v>45.211479458372203</v>
      </c>
      <c r="G157" s="11">
        <f t="shared" si="10"/>
        <v>0.82202689924313088</v>
      </c>
      <c r="H157" s="31">
        <f t="shared" si="11"/>
        <v>12.87</v>
      </c>
    </row>
    <row r="158" spans="4:8" x14ac:dyDescent="0.3">
      <c r="D158">
        <v>56</v>
      </c>
      <c r="E158" s="19">
        <f t="shared" si="8"/>
        <v>13.51360779084888</v>
      </c>
      <c r="F158" s="68">
        <f t="shared" si="9"/>
        <v>46.360779084888001</v>
      </c>
      <c r="G158" s="11">
        <f t="shared" si="10"/>
        <v>0.84292325608887264</v>
      </c>
      <c r="H158" s="31">
        <f t="shared" si="11"/>
        <v>12.87</v>
      </c>
    </row>
    <row r="159" spans="4:8" x14ac:dyDescent="0.3">
      <c r="D159">
        <v>57</v>
      </c>
      <c r="E159" s="19">
        <f t="shared" si="8"/>
        <v>13.525100787114038</v>
      </c>
      <c r="F159" s="68">
        <f t="shared" si="9"/>
        <v>47.5100787114038</v>
      </c>
      <c r="G159" s="11">
        <f t="shared" si="10"/>
        <v>0.8638196129346144</v>
      </c>
      <c r="H159" s="31">
        <f t="shared" si="11"/>
        <v>12.87</v>
      </c>
    </row>
    <row r="160" spans="4:8" x14ac:dyDescent="0.3">
      <c r="D160">
        <v>58</v>
      </c>
      <c r="E160" s="19">
        <f t="shared" si="8"/>
        <v>13.536593783379198</v>
      </c>
      <c r="F160" s="68">
        <f t="shared" si="9"/>
        <v>48.659378337919776</v>
      </c>
      <c r="G160" s="11">
        <f t="shared" si="10"/>
        <v>0.88471596978035949</v>
      </c>
      <c r="H160" s="31">
        <f t="shared" si="11"/>
        <v>12.87</v>
      </c>
    </row>
    <row r="161" spans="4:8" x14ac:dyDescent="0.3">
      <c r="D161">
        <v>59</v>
      </c>
      <c r="E161" s="19">
        <f t="shared" si="8"/>
        <v>13.548086779644356</v>
      </c>
      <c r="F161" s="68">
        <f t="shared" si="9"/>
        <v>49.808677964435574</v>
      </c>
      <c r="G161" s="11">
        <f t="shared" si="10"/>
        <v>0.90561232662610125</v>
      </c>
      <c r="H161" s="31">
        <f t="shared" si="11"/>
        <v>12.87</v>
      </c>
    </row>
    <row r="162" spans="4:8" x14ac:dyDescent="0.3">
      <c r="D162">
        <v>60</v>
      </c>
      <c r="E162" s="19">
        <f t="shared" si="8"/>
        <v>13.559579775909514</v>
      </c>
      <c r="F162" s="68">
        <f t="shared" si="9"/>
        <v>50.957977590951373</v>
      </c>
      <c r="G162" s="11">
        <f t="shared" si="10"/>
        <v>0.92650868347184301</v>
      </c>
      <c r="H162" s="31">
        <f t="shared" si="11"/>
        <v>12.87</v>
      </c>
    </row>
    <row r="163" spans="4:8" x14ac:dyDescent="0.3">
      <c r="D163">
        <v>61</v>
      </c>
      <c r="E163" s="19">
        <f t="shared" si="8"/>
        <v>13.571072772174674</v>
      </c>
      <c r="F163" s="68">
        <f t="shared" si="9"/>
        <v>52.107277217467349</v>
      </c>
      <c r="G163" s="11">
        <f t="shared" si="10"/>
        <v>0.94740504031758799</v>
      </c>
      <c r="H163" s="31">
        <f t="shared" si="11"/>
        <v>12.87</v>
      </c>
    </row>
    <row r="164" spans="4:8" x14ac:dyDescent="0.3">
      <c r="D164">
        <v>62</v>
      </c>
      <c r="E164" s="19">
        <f t="shared" si="8"/>
        <v>13.582565768439832</v>
      </c>
      <c r="F164" s="68">
        <f t="shared" si="9"/>
        <v>53.256576843983147</v>
      </c>
      <c r="G164" s="11">
        <f t="shared" si="10"/>
        <v>0.96830139716332986</v>
      </c>
      <c r="H164" s="31">
        <f t="shared" si="11"/>
        <v>12.87</v>
      </c>
    </row>
    <row r="165" spans="4:8" x14ac:dyDescent="0.3">
      <c r="D165">
        <v>63</v>
      </c>
      <c r="E165" s="19">
        <f t="shared" si="8"/>
        <v>13.59405876470499</v>
      </c>
      <c r="F165" s="68">
        <f t="shared" si="9"/>
        <v>54.405876470498946</v>
      </c>
      <c r="G165" s="11">
        <f t="shared" si="10"/>
        <v>0.98919775400907162</v>
      </c>
      <c r="H165" s="31">
        <f t="shared" si="11"/>
        <v>12.87</v>
      </c>
    </row>
    <row r="166" spans="4:8" x14ac:dyDescent="0.3">
      <c r="D166">
        <v>64</v>
      </c>
      <c r="E166" s="19">
        <f t="shared" si="8"/>
        <v>13.605551760970149</v>
      </c>
      <c r="F166" s="68">
        <f t="shared" si="9"/>
        <v>55.555176097014922</v>
      </c>
      <c r="G166" s="11">
        <f t="shared" si="10"/>
        <v>1.0100941108548167</v>
      </c>
      <c r="H166" s="31">
        <f t="shared" si="11"/>
        <v>12.87</v>
      </c>
    </row>
    <row r="167" spans="4:8" x14ac:dyDescent="0.3">
      <c r="D167">
        <v>65</v>
      </c>
      <c r="E167" s="19">
        <f t="shared" si="8"/>
        <v>13.617044757235307</v>
      </c>
      <c r="F167" s="68">
        <f t="shared" si="9"/>
        <v>56.70447572353072</v>
      </c>
      <c r="G167" s="11">
        <f t="shared" si="10"/>
        <v>1.0309904677005584</v>
      </c>
      <c r="H167" s="31">
        <f t="shared" si="11"/>
        <v>12.87</v>
      </c>
    </row>
    <row r="168" spans="4:8" x14ac:dyDescent="0.3">
      <c r="D168">
        <v>66</v>
      </c>
      <c r="E168" s="19">
        <f t="shared" si="8"/>
        <v>13.628537753500465</v>
      </c>
      <c r="F168" s="68">
        <f t="shared" si="9"/>
        <v>57.853775350046519</v>
      </c>
      <c r="G168" s="11">
        <f t="shared" si="10"/>
        <v>1.0518868245463002</v>
      </c>
      <c r="H168" s="31">
        <f t="shared" si="11"/>
        <v>12.87</v>
      </c>
    </row>
    <row r="169" spans="4:8" x14ac:dyDescent="0.3">
      <c r="D169">
        <v>67</v>
      </c>
      <c r="E169" s="19">
        <f t="shared" si="8"/>
        <v>13.640030749765625</v>
      </c>
      <c r="F169" s="68">
        <f t="shared" si="9"/>
        <v>59.003074976562495</v>
      </c>
      <c r="G169" s="11">
        <f t="shared" si="10"/>
        <v>1.0727831813920452</v>
      </c>
      <c r="H169" s="31">
        <f t="shared" si="11"/>
        <v>12.87</v>
      </c>
    </row>
    <row r="170" spans="4:8" x14ac:dyDescent="0.3">
      <c r="D170">
        <v>68</v>
      </c>
      <c r="E170" s="19">
        <f t="shared" si="8"/>
        <v>13.651523746030783</v>
      </c>
      <c r="F170" s="68">
        <f t="shared" si="9"/>
        <v>60.152374603078293</v>
      </c>
      <c r="G170" s="11">
        <f t="shared" si="10"/>
        <v>1.0936795382377871</v>
      </c>
      <c r="H170" s="31">
        <f t="shared" si="11"/>
        <v>12.87</v>
      </c>
    </row>
    <row r="171" spans="4:8" x14ac:dyDescent="0.3">
      <c r="D171">
        <v>69</v>
      </c>
      <c r="E171" s="19">
        <f t="shared" si="8"/>
        <v>13.663016742295941</v>
      </c>
      <c r="F171" s="68">
        <f t="shared" si="9"/>
        <v>61.301674229594092</v>
      </c>
      <c r="G171" s="11">
        <f t="shared" si="10"/>
        <v>1.1145758950835287</v>
      </c>
      <c r="H171" s="31">
        <f t="shared" si="11"/>
        <v>12.87</v>
      </c>
    </row>
    <row r="172" spans="4:8" x14ac:dyDescent="0.3">
      <c r="D172">
        <v>70</v>
      </c>
      <c r="E172" s="19">
        <f t="shared" si="8"/>
        <v>13.674509738561101</v>
      </c>
      <c r="F172" s="68">
        <f t="shared" si="9"/>
        <v>62.450973856110068</v>
      </c>
      <c r="G172" s="11">
        <f t="shared" si="10"/>
        <v>1.1354722519292737</v>
      </c>
      <c r="H172" s="31">
        <f t="shared" si="11"/>
        <v>12.87</v>
      </c>
    </row>
    <row r="173" spans="4:8" x14ac:dyDescent="0.3">
      <c r="D173">
        <v>71</v>
      </c>
      <c r="E173" s="19">
        <f t="shared" si="8"/>
        <v>13.686002734826259</v>
      </c>
      <c r="F173" s="68">
        <f t="shared" si="9"/>
        <v>63.600273482625866</v>
      </c>
      <c r="G173" s="11">
        <f t="shared" si="10"/>
        <v>1.1563686087750156</v>
      </c>
      <c r="H173" s="31">
        <f t="shared" si="11"/>
        <v>12.87</v>
      </c>
    </row>
    <row r="174" spans="4:8" x14ac:dyDescent="0.3">
      <c r="D174">
        <v>72</v>
      </c>
      <c r="E174" s="19">
        <f t="shared" si="8"/>
        <v>13.697495731091418</v>
      </c>
      <c r="F174" s="68">
        <f t="shared" si="9"/>
        <v>64.749573109141849</v>
      </c>
      <c r="G174" s="11">
        <f t="shared" si="10"/>
        <v>1.1772649656207608</v>
      </c>
      <c r="H174" s="31">
        <f t="shared" si="11"/>
        <v>12.87</v>
      </c>
    </row>
    <row r="175" spans="4:8" x14ac:dyDescent="0.3">
      <c r="D175">
        <v>73</v>
      </c>
      <c r="E175" s="19">
        <f t="shared" si="8"/>
        <v>13.708988727356576</v>
      </c>
      <c r="F175" s="68">
        <f t="shared" si="9"/>
        <v>65.898872735657648</v>
      </c>
      <c r="G175" s="11">
        <f t="shared" si="10"/>
        <v>1.1981613224665024</v>
      </c>
      <c r="H175" s="31">
        <f t="shared" si="11"/>
        <v>12.87</v>
      </c>
    </row>
    <row r="176" spans="4:8" x14ac:dyDescent="0.3">
      <c r="D176">
        <v>74</v>
      </c>
      <c r="E176" s="19">
        <f t="shared" si="8"/>
        <v>13.720481723621734</v>
      </c>
      <c r="F176" s="68">
        <f t="shared" si="9"/>
        <v>67.048172362173446</v>
      </c>
      <c r="G176" s="11">
        <f t="shared" si="10"/>
        <v>1.2190576793122443</v>
      </c>
      <c r="H176" s="31">
        <f t="shared" si="11"/>
        <v>12.87</v>
      </c>
    </row>
    <row r="177" spans="4:8" x14ac:dyDescent="0.3">
      <c r="D177">
        <v>75</v>
      </c>
      <c r="E177" s="19">
        <f t="shared" si="8"/>
        <v>13.731974719886892</v>
      </c>
      <c r="F177" s="68">
        <f t="shared" si="9"/>
        <v>68.197471988689244</v>
      </c>
      <c r="G177" s="11">
        <f t="shared" si="10"/>
        <v>1.2399540361579862</v>
      </c>
      <c r="H177" s="31">
        <f t="shared" si="11"/>
        <v>12.87</v>
      </c>
    </row>
    <row r="178" spans="4:8" x14ac:dyDescent="0.3">
      <c r="D178">
        <v>76</v>
      </c>
      <c r="E178" s="19">
        <f t="shared" si="8"/>
        <v>13.743467716152052</v>
      </c>
      <c r="F178" s="68">
        <f t="shared" si="9"/>
        <v>69.346771615205213</v>
      </c>
      <c r="G178" s="11">
        <f t="shared" si="10"/>
        <v>1.2608503930037309</v>
      </c>
      <c r="H178" s="31">
        <f t="shared" si="11"/>
        <v>12.87</v>
      </c>
    </row>
    <row r="179" spans="4:8" x14ac:dyDescent="0.3">
      <c r="D179">
        <v>77</v>
      </c>
      <c r="E179" s="19">
        <f t="shared" si="8"/>
        <v>13.75496071241721</v>
      </c>
      <c r="F179" s="68">
        <f t="shared" si="9"/>
        <v>70.496071241721012</v>
      </c>
      <c r="G179" s="11">
        <f t="shared" si="10"/>
        <v>1.2817467498494728</v>
      </c>
      <c r="H179" s="31">
        <f t="shared" si="11"/>
        <v>12.87</v>
      </c>
    </row>
    <row r="180" spans="4:8" x14ac:dyDescent="0.3">
      <c r="D180">
        <v>78</v>
      </c>
      <c r="E180" s="19">
        <f t="shared" si="8"/>
        <v>13.76645370868237</v>
      </c>
      <c r="F180" s="68">
        <f t="shared" si="9"/>
        <v>71.645370868236995</v>
      </c>
      <c r="G180" s="11">
        <f t="shared" si="10"/>
        <v>1.302643106695218</v>
      </c>
      <c r="H180" s="31">
        <f t="shared" si="11"/>
        <v>12.87</v>
      </c>
    </row>
    <row r="181" spans="4:8" x14ac:dyDescent="0.3">
      <c r="D181">
        <v>79</v>
      </c>
      <c r="E181" s="19">
        <f t="shared" si="8"/>
        <v>13.777946704947528</v>
      </c>
      <c r="F181" s="68">
        <f t="shared" si="9"/>
        <v>72.794670494752793</v>
      </c>
      <c r="G181" s="11">
        <f t="shared" si="10"/>
        <v>1.3235394635409596</v>
      </c>
      <c r="H181" s="31">
        <f t="shared" si="11"/>
        <v>12.87</v>
      </c>
    </row>
    <row r="182" spans="4:8" x14ac:dyDescent="0.3">
      <c r="D182">
        <v>80</v>
      </c>
      <c r="E182" s="19">
        <f t="shared" si="8"/>
        <v>13.789439701212686</v>
      </c>
      <c r="F182" s="68">
        <f t="shared" si="9"/>
        <v>73.943970121268592</v>
      </c>
      <c r="G182" s="11">
        <f t="shared" si="10"/>
        <v>1.3444358203867015</v>
      </c>
      <c r="H182" s="31">
        <f t="shared" si="11"/>
        <v>12.87</v>
      </c>
    </row>
    <row r="183" spans="4:8" x14ac:dyDescent="0.3">
      <c r="D183">
        <v>81</v>
      </c>
      <c r="E183" s="19">
        <f t="shared" si="8"/>
        <v>13.800932697477844</v>
      </c>
      <c r="F183" s="68">
        <f t="shared" si="9"/>
        <v>75.09326974778439</v>
      </c>
      <c r="G183" s="11">
        <f t="shared" si="10"/>
        <v>1.3653321772324434</v>
      </c>
      <c r="H183" s="31">
        <f t="shared" si="11"/>
        <v>12.87</v>
      </c>
    </row>
    <row r="184" spans="4:8" x14ac:dyDescent="0.3">
      <c r="D184">
        <v>82</v>
      </c>
      <c r="E184" s="19">
        <f t="shared" si="8"/>
        <v>13.812425693743004</v>
      </c>
      <c r="F184" s="68">
        <f t="shared" si="9"/>
        <v>76.242569374300359</v>
      </c>
      <c r="G184" s="11">
        <f t="shared" si="10"/>
        <v>1.3862285340781881</v>
      </c>
      <c r="H184" s="31">
        <f t="shared" si="11"/>
        <v>12.87</v>
      </c>
    </row>
    <row r="185" spans="4:8" x14ac:dyDescent="0.3">
      <c r="D185">
        <v>83</v>
      </c>
      <c r="E185" s="19">
        <f t="shared" si="8"/>
        <v>13.823918690008162</v>
      </c>
      <c r="F185" s="68">
        <f t="shared" si="9"/>
        <v>77.391869000816158</v>
      </c>
      <c r="G185" s="11">
        <f t="shared" si="10"/>
        <v>1.40712489092393</v>
      </c>
      <c r="H185" s="31">
        <f t="shared" si="11"/>
        <v>12.87</v>
      </c>
    </row>
    <row r="186" spans="4:8" x14ac:dyDescent="0.3">
      <c r="D186">
        <v>84</v>
      </c>
      <c r="E186" s="19">
        <f t="shared" si="8"/>
        <v>13.835411686273321</v>
      </c>
      <c r="F186" s="68">
        <f t="shared" si="9"/>
        <v>78.541168627332141</v>
      </c>
      <c r="G186" s="11">
        <f t="shared" si="10"/>
        <v>1.4280212477696752</v>
      </c>
      <c r="H186" s="31">
        <f t="shared" si="11"/>
        <v>12.87</v>
      </c>
    </row>
    <row r="187" spans="4:8" x14ac:dyDescent="0.3">
      <c r="D187">
        <v>85</v>
      </c>
      <c r="E187" s="19">
        <f t="shared" si="8"/>
        <v>13.846904682538479</v>
      </c>
      <c r="F187" s="68">
        <f t="shared" si="9"/>
        <v>79.690468253847939</v>
      </c>
      <c r="G187" s="11">
        <f t="shared" si="10"/>
        <v>1.4489176046154169</v>
      </c>
      <c r="H187" s="31">
        <f t="shared" si="11"/>
        <v>12.87</v>
      </c>
    </row>
    <row r="188" spans="4:8" x14ac:dyDescent="0.3">
      <c r="D188">
        <v>86</v>
      </c>
      <c r="E188" s="19">
        <f t="shared" si="8"/>
        <v>13.858397678803637</v>
      </c>
      <c r="F188" s="68">
        <f t="shared" si="9"/>
        <v>80.839767880363738</v>
      </c>
      <c r="G188" s="11">
        <f t="shared" si="10"/>
        <v>1.4698139614611587</v>
      </c>
      <c r="H188" s="31">
        <f t="shared" si="11"/>
        <v>12.87</v>
      </c>
    </row>
    <row r="189" spans="4:8" x14ac:dyDescent="0.3">
      <c r="D189">
        <v>87</v>
      </c>
      <c r="E189" s="19">
        <f t="shared" si="8"/>
        <v>13.869890675068797</v>
      </c>
      <c r="F189" s="68">
        <f t="shared" si="9"/>
        <v>81.989067506879707</v>
      </c>
      <c r="G189" s="11">
        <f t="shared" si="10"/>
        <v>1.4907103183069035</v>
      </c>
      <c r="H189" s="31">
        <f t="shared" si="11"/>
        <v>12.87</v>
      </c>
    </row>
    <row r="190" spans="4:8" x14ac:dyDescent="0.3">
      <c r="D190">
        <v>88</v>
      </c>
      <c r="E190" s="19">
        <f t="shared" si="8"/>
        <v>13.881383671333955</v>
      </c>
      <c r="F190" s="68">
        <f t="shared" si="9"/>
        <v>83.138367133395505</v>
      </c>
      <c r="G190" s="11">
        <f t="shared" si="10"/>
        <v>1.5116066751526454</v>
      </c>
      <c r="H190" s="31">
        <f t="shared" si="11"/>
        <v>12.87</v>
      </c>
    </row>
    <row r="191" spans="4:8" x14ac:dyDescent="0.3">
      <c r="D191">
        <v>89</v>
      </c>
      <c r="E191" s="19">
        <f t="shared" si="8"/>
        <v>13.892876667599113</v>
      </c>
      <c r="F191" s="68">
        <f t="shared" si="9"/>
        <v>84.287666759911303</v>
      </c>
      <c r="G191" s="11">
        <f t="shared" si="10"/>
        <v>1.5325030319983872</v>
      </c>
      <c r="H191" s="31">
        <f t="shared" si="11"/>
        <v>12.87</v>
      </c>
    </row>
    <row r="192" spans="4:8" x14ac:dyDescent="0.3">
      <c r="D192">
        <v>90</v>
      </c>
      <c r="E192" s="19">
        <f t="shared" si="8"/>
        <v>13.904369663864273</v>
      </c>
      <c r="F192" s="68">
        <f t="shared" si="9"/>
        <v>85.436966386427287</v>
      </c>
      <c r="G192" s="11">
        <f t="shared" si="10"/>
        <v>1.5533993888441322</v>
      </c>
      <c r="H192" s="31">
        <f t="shared" si="11"/>
        <v>12.87</v>
      </c>
    </row>
    <row r="193" spans="4:8" x14ac:dyDescent="0.3">
      <c r="D193">
        <v>91</v>
      </c>
      <c r="E193" s="19">
        <f t="shared" si="8"/>
        <v>13.915862660129431</v>
      </c>
      <c r="F193" s="68">
        <f t="shared" si="9"/>
        <v>86.586266012943085</v>
      </c>
      <c r="G193" s="11">
        <f t="shared" si="10"/>
        <v>1.5742957456898741</v>
      </c>
      <c r="H193" s="31">
        <f t="shared" si="11"/>
        <v>12.87</v>
      </c>
    </row>
    <row r="194" spans="4:8" x14ac:dyDescent="0.3">
      <c r="D194">
        <v>92</v>
      </c>
      <c r="E194" s="19">
        <f t="shared" ref="E194:E202" si="12">$B$1+D194*$B$7</f>
        <v>13.927355656394589</v>
      </c>
      <c r="F194" s="68">
        <f t="shared" si="9"/>
        <v>87.735565639458883</v>
      </c>
      <c r="G194" s="11">
        <f t="shared" si="10"/>
        <v>1.5951921025356159</v>
      </c>
      <c r="H194" s="31">
        <f t="shared" si="11"/>
        <v>12.87</v>
      </c>
    </row>
    <row r="195" spans="4:8" x14ac:dyDescent="0.3">
      <c r="D195">
        <v>93</v>
      </c>
      <c r="E195" s="19">
        <f t="shared" si="12"/>
        <v>13.938848652659749</v>
      </c>
      <c r="F195" s="68">
        <f t="shared" ref="F195:F202" si="13">IF($B$4="CALL",MAX(E195-$B$2,0)-$B$3,MAX($B$2-E195,0)-$B$3)*$B$9</f>
        <v>88.884865265974852</v>
      </c>
      <c r="G195" s="11">
        <f t="shared" ref="G195:G202" si="14">F195/$B$10</f>
        <v>1.6160884593813607</v>
      </c>
      <c r="H195" s="31">
        <f t="shared" ref="H195:H202" si="15">$B$1</f>
        <v>12.87</v>
      </c>
    </row>
    <row r="196" spans="4:8" x14ac:dyDescent="0.3">
      <c r="D196">
        <v>94</v>
      </c>
      <c r="E196" s="19">
        <f t="shared" si="12"/>
        <v>13.950341648924907</v>
      </c>
      <c r="F196" s="68">
        <f t="shared" si="13"/>
        <v>90.034164892490651</v>
      </c>
      <c r="G196" s="11">
        <f t="shared" si="14"/>
        <v>1.6369848162271026</v>
      </c>
      <c r="H196" s="31">
        <f t="shared" si="15"/>
        <v>12.87</v>
      </c>
    </row>
    <row r="197" spans="4:8" x14ac:dyDescent="0.3">
      <c r="D197">
        <v>95</v>
      </c>
      <c r="E197" s="19">
        <f t="shared" si="12"/>
        <v>13.961834645190065</v>
      </c>
      <c r="F197" s="68">
        <f t="shared" si="13"/>
        <v>91.183464519006449</v>
      </c>
      <c r="G197" s="11">
        <f t="shared" si="14"/>
        <v>1.6578811730728442</v>
      </c>
      <c r="H197" s="31">
        <f t="shared" si="15"/>
        <v>12.87</v>
      </c>
    </row>
    <row r="198" spans="4:8" x14ac:dyDescent="0.3">
      <c r="D198">
        <v>96</v>
      </c>
      <c r="E198" s="19">
        <f t="shared" si="12"/>
        <v>13.973327641455224</v>
      </c>
      <c r="F198" s="68">
        <f t="shared" si="13"/>
        <v>92.332764145522432</v>
      </c>
      <c r="G198" s="11">
        <f t="shared" si="14"/>
        <v>1.6787775299185894</v>
      </c>
      <c r="H198" s="31">
        <f t="shared" si="15"/>
        <v>12.87</v>
      </c>
    </row>
    <row r="199" spans="4:8" x14ac:dyDescent="0.3">
      <c r="D199">
        <v>97</v>
      </c>
      <c r="E199" s="19">
        <f t="shared" si="12"/>
        <v>13.984820637720382</v>
      </c>
      <c r="F199" s="68">
        <f t="shared" si="13"/>
        <v>93.482063772038231</v>
      </c>
      <c r="G199" s="11">
        <f t="shared" si="14"/>
        <v>1.6996738867643313</v>
      </c>
      <c r="H199" s="31">
        <f t="shared" si="15"/>
        <v>12.87</v>
      </c>
    </row>
    <row r="200" spans="4:8" x14ac:dyDescent="0.3">
      <c r="D200">
        <v>98</v>
      </c>
      <c r="E200" s="19">
        <f t="shared" si="12"/>
        <v>13.99631363398554</v>
      </c>
      <c r="F200" s="68">
        <f t="shared" si="13"/>
        <v>94.631363398554029</v>
      </c>
      <c r="G200" s="11">
        <f t="shared" si="14"/>
        <v>1.7205702436100729</v>
      </c>
      <c r="H200" s="31">
        <f t="shared" si="15"/>
        <v>12.87</v>
      </c>
    </row>
    <row r="201" spans="4:8" x14ac:dyDescent="0.3">
      <c r="D201">
        <v>99</v>
      </c>
      <c r="E201" s="19">
        <f t="shared" si="12"/>
        <v>14.0078066302507</v>
      </c>
      <c r="F201" s="68">
        <f t="shared" si="13"/>
        <v>95.780663025069998</v>
      </c>
      <c r="G201" s="11">
        <f t="shared" si="14"/>
        <v>1.7414666004558179</v>
      </c>
      <c r="H201" s="31">
        <f t="shared" si="15"/>
        <v>12.87</v>
      </c>
    </row>
    <row r="202" spans="4:8" x14ac:dyDescent="0.3">
      <c r="D202">
        <v>100</v>
      </c>
      <c r="E202" s="19">
        <f t="shared" si="12"/>
        <v>14.019299626515858</v>
      </c>
      <c r="F202" s="68">
        <f t="shared" si="13"/>
        <v>96.929962651585797</v>
      </c>
      <c r="G202" s="11">
        <f t="shared" si="14"/>
        <v>1.7623629573015598</v>
      </c>
      <c r="H202" s="31">
        <f t="shared" si="15"/>
        <v>12.87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9A08E-C41E-46D7-B9C2-F72E4E443130}">
  <sheetPr codeName="Sheet10">
    <tabColor rgb="FF0070C0"/>
  </sheetPr>
  <dimension ref="A1:E6"/>
  <sheetViews>
    <sheetView workbookViewId="0"/>
  </sheetViews>
  <sheetFormatPr defaultRowHeight="14.4" x14ac:dyDescent="0.3"/>
  <cols>
    <col min="1" max="1" width="12.44140625" bestFit="1" customWidth="1"/>
    <col min="2" max="2" width="8" bestFit="1" customWidth="1"/>
    <col min="3" max="3" width="7.44140625" bestFit="1" customWidth="1"/>
    <col min="4" max="4" width="7.21875" bestFit="1" customWidth="1"/>
    <col min="5" max="5" width="8.5546875" bestFit="1" customWidth="1"/>
  </cols>
  <sheetData>
    <row r="1" spans="1:5" x14ac:dyDescent="0.3">
      <c r="A1" t="s">
        <v>143</v>
      </c>
      <c r="B1" t="s">
        <v>144</v>
      </c>
      <c r="C1" t="s">
        <v>145</v>
      </c>
      <c r="D1" t="s">
        <v>146</v>
      </c>
      <c r="E1" t="s">
        <v>147</v>
      </c>
    </row>
    <row r="2" spans="1:5" x14ac:dyDescent="0.3">
      <c r="A2" s="1">
        <v>44239</v>
      </c>
      <c r="B2">
        <v>4.2999999999999997E-2</v>
      </c>
      <c r="C2">
        <v>5.2999999999999999E-2</v>
      </c>
      <c r="D2">
        <v>3.3000000000000002E-2</v>
      </c>
      <c r="E2">
        <v>4.4999999999999998E-2</v>
      </c>
    </row>
    <row r="3" spans="1:5" x14ac:dyDescent="0.3">
      <c r="A3" s="1">
        <v>44238</v>
      </c>
      <c r="B3">
        <v>4.5999999999999999E-2</v>
      </c>
      <c r="C3">
        <v>5.6000000000000001E-2</v>
      </c>
      <c r="D3">
        <v>3.5000000000000003E-2</v>
      </c>
      <c r="E3">
        <v>4.2999999999999997E-2</v>
      </c>
    </row>
    <row r="4" spans="1:5" x14ac:dyDescent="0.3">
      <c r="A4" s="1">
        <v>44237</v>
      </c>
      <c r="B4">
        <v>0.04</v>
      </c>
      <c r="C4">
        <v>5.0999999999999997E-2</v>
      </c>
      <c r="D4">
        <v>0.03</v>
      </c>
      <c r="E4">
        <v>4.5999999999999999E-2</v>
      </c>
    </row>
    <row r="5" spans="1:5" x14ac:dyDescent="0.3">
      <c r="A5" s="1">
        <v>44236</v>
      </c>
      <c r="B5">
        <v>3.3000000000000002E-2</v>
      </c>
      <c r="C5">
        <v>4.8000000000000001E-2</v>
      </c>
      <c r="D5">
        <v>0.03</v>
      </c>
      <c r="E5">
        <v>0.04</v>
      </c>
    </row>
    <row r="6" spans="1:5" x14ac:dyDescent="0.3">
      <c r="A6" s="1">
        <v>44235</v>
      </c>
      <c r="B6">
        <v>0.03</v>
      </c>
      <c r="C6">
        <v>4.1000000000000002E-2</v>
      </c>
      <c r="D6">
        <v>2.1999999999999999E-2</v>
      </c>
      <c r="E6">
        <v>3.3000000000000002E-2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4D1FA-81B1-449F-82AF-AA302F158DE1}">
  <sheetPr codeName="Sheet11">
    <tabColor theme="7" tint="0.39997558519241921"/>
  </sheetPr>
  <dimension ref="A1:M102"/>
  <sheetViews>
    <sheetView topLeftCell="A75" workbookViewId="0"/>
  </sheetViews>
  <sheetFormatPr defaultRowHeight="14.4" x14ac:dyDescent="0.3"/>
  <cols>
    <col min="1" max="1" width="10" bestFit="1" customWidth="1"/>
    <col min="2" max="2" width="10" customWidth="1"/>
    <col min="3" max="3" width="11" bestFit="1" customWidth="1"/>
    <col min="6" max="6" width="14.6640625" bestFit="1" customWidth="1"/>
    <col min="8" max="9" width="15.109375" customWidth="1"/>
    <col min="13" max="13" width="9.5546875" bestFit="1" customWidth="1"/>
  </cols>
  <sheetData>
    <row r="1" spans="1:13" x14ac:dyDescent="0.3">
      <c r="A1" t="s">
        <v>170</v>
      </c>
      <c r="B1" t="s">
        <v>173</v>
      </c>
      <c r="C1" t="s">
        <v>168</v>
      </c>
      <c r="D1" t="s">
        <v>169</v>
      </c>
      <c r="E1" t="s">
        <v>175</v>
      </c>
      <c r="F1" t="s">
        <v>170</v>
      </c>
      <c r="G1" t="s">
        <v>173</v>
      </c>
      <c r="H1" t="s">
        <v>163</v>
      </c>
      <c r="I1" t="s">
        <v>163</v>
      </c>
      <c r="J1" t="s">
        <v>169</v>
      </c>
      <c r="K1" t="s">
        <v>175</v>
      </c>
    </row>
    <row r="2" spans="1:13" x14ac:dyDescent="0.3">
      <c r="A2" s="60">
        <v>0</v>
      </c>
      <c r="B2">
        <v>0</v>
      </c>
      <c r="C2" s="62">
        <f>A2</f>
        <v>0</v>
      </c>
      <c r="D2" s="65" cm="1">
        <f t="array" ref="D2">100*OptionPrice('Trading Dashboard'!$K$7,'Trading Dashboard'!$AB$7,'Trading Dashboard'!$K$8,C2,'Trading Dashboard'!$AB$10,'Trading Dashboard'!$AB$9,'Trading Dashboard'!$K$9,'Trading Dashboard'!$AB$11)</f>
        <v>49.116066920378557</v>
      </c>
      <c r="E2" s="62">
        <f>'Trading Dashboard'!$AB$8</f>
        <v>4.4999999999999999E-4</v>
      </c>
      <c r="F2" s="64">
        <f ca="1">NOW()</f>
        <v>44241.860407060187</v>
      </c>
      <c r="G2">
        <v>0</v>
      </c>
      <c r="H2" s="64">
        <f ca="1">F2</f>
        <v>44241.860407060187</v>
      </c>
      <c r="I2" s="63">
        <f ca="1">(H2-NOW())/252</f>
        <v>-4.592803879714911E-10</v>
      </c>
      <c r="J2" s="67" cm="1">
        <f t="array" aca="1" ref="J2" ca="1">100*OptionPrice('Trading Dashboard'!$K$7,'Trading Dashboard'!$AB$7,'Trading Dashboard'!$K$8,'Trading Dashboard'!$AB$8,'Trading Dashboard'!$AB$10,'Trading Dashboard'!$AB$9,H2,'Trading Dashboard'!$AB$11)</f>
        <v>37.206013395797285</v>
      </c>
      <c r="K2" s="69">
        <f ca="1">$I$102</f>
        <v>2.7008966233869801E-2</v>
      </c>
    </row>
    <row r="3" spans="1:13" x14ac:dyDescent="0.3">
      <c r="A3" t="s">
        <v>171</v>
      </c>
      <c r="B3">
        <v>1</v>
      </c>
      <c r="C3" s="62">
        <f>C2+$A$8</f>
        <v>1.3500000000000001E-5</v>
      </c>
      <c r="D3" s="65" cm="1">
        <f t="array" ref="D3">100*OptionPrice('Trading Dashboard'!$K$7,'Trading Dashboard'!$AB$7,'Trading Dashboard'!$K$8,C3,'Trading Dashboard'!$AB$10,'Trading Dashboard'!$AB$9,'Trading Dashboard'!$K$9,'Trading Dashboard'!$AB$11)</f>
        <v>49.116369920538794</v>
      </c>
      <c r="E3" s="62">
        <f>'Trading Dashboard'!$AB$8</f>
        <v>4.4999999999999999E-4</v>
      </c>
      <c r="F3" t="s">
        <v>171</v>
      </c>
      <c r="G3">
        <v>1</v>
      </c>
      <c r="H3" s="64">
        <f ca="1">H2+$F$8</f>
        <v>44241.928469656254</v>
      </c>
      <c r="I3" s="63">
        <f t="shared" ref="I3:I66" ca="1" si="0">(H3-NOW())/252</f>
        <v>2.7008920765111391E-4</v>
      </c>
      <c r="J3" s="67" cm="1">
        <f t="array" aca="1" ref="J3" ca="1">100*OptionPrice('Trading Dashboard'!$K$7,'Trading Dashboard'!$AB$7,'Trading Dashboard'!$K$8,'Trading Dashboard'!$AB$8,'Trading Dashboard'!$AB$10,'Trading Dashboard'!$AB$9,H3,'Trading Dashboard'!$AB$11)</f>
        <v>37.311408246628481</v>
      </c>
      <c r="K3" s="69">
        <f t="shared" ref="K3:K66" ca="1" si="1">$I$102</f>
        <v>2.7008966233869801E-2</v>
      </c>
    </row>
    <row r="4" spans="1:13" x14ac:dyDescent="0.3">
      <c r="A4" s="60">
        <f>3*'Trading Dashboard'!AB8</f>
        <v>1.3500000000000001E-3</v>
      </c>
      <c r="B4">
        <v>2</v>
      </c>
      <c r="C4" s="62">
        <f t="shared" ref="C4:C67" si="2">C3+$A$8</f>
        <v>2.7000000000000002E-5</v>
      </c>
      <c r="D4" s="65" cm="1">
        <f t="array" ref="D4">100*OptionPrice('Trading Dashboard'!$K$7,'Trading Dashboard'!$AB$7,'Trading Dashboard'!$K$8,C4,'Trading Dashboard'!$AB$10,'Trading Dashboard'!$AB$9,'Trading Dashboard'!$K$9,'Trading Dashboard'!$AB$11)</f>
        <v>49.116672921614771</v>
      </c>
      <c r="E4" s="62">
        <f>'Trading Dashboard'!$AB$8</f>
        <v>4.4999999999999999E-4</v>
      </c>
      <c r="F4" s="64">
        <f>'Trading Dashboard'!K9+16/24</f>
        <v>44248.666666666664</v>
      </c>
      <c r="G4">
        <v>2</v>
      </c>
      <c r="H4" s="64">
        <f t="shared" ref="H4:H67" ca="1" si="3">H3+$F$8</f>
        <v>44241.99653225232</v>
      </c>
      <c r="I4" s="63">
        <f t="shared" ca="1" si="0"/>
        <v>5.4017887458261585E-4</v>
      </c>
      <c r="J4" s="67" cm="1">
        <f t="array" aca="1" ref="J4" ca="1">100*OptionPrice('Trading Dashboard'!$K$7,'Trading Dashboard'!$AB$7,'Trading Dashboard'!$K$8,'Trading Dashboard'!$AB$8,'Trading Dashboard'!$AB$10,'Trading Dashboard'!$AB$9,H4,'Trading Dashboard'!$AB$11)</f>
        <v>37.425953192208674</v>
      </c>
      <c r="K4" s="69">
        <f t="shared" ca="1" si="1"/>
        <v>2.7008966233869801E-2</v>
      </c>
    </row>
    <row r="5" spans="1:13" x14ac:dyDescent="0.3">
      <c r="A5" t="s">
        <v>172</v>
      </c>
      <c r="B5">
        <v>3</v>
      </c>
      <c r="C5" s="62">
        <f t="shared" si="2"/>
        <v>4.0500000000000002E-5</v>
      </c>
      <c r="D5" s="65" cm="1">
        <f t="array" ref="D5">100*OptionPrice('Trading Dashboard'!$K$7,'Trading Dashboard'!$AB$7,'Trading Dashboard'!$K$8,C5,'Trading Dashboard'!$AB$10,'Trading Dashboard'!$AB$9,'Trading Dashboard'!$K$9,'Trading Dashboard'!$AB$11)</f>
        <v>49.11697592360516</v>
      </c>
      <c r="E5" s="62">
        <f>'Trading Dashboard'!$AB$8</f>
        <v>4.4999999999999999E-4</v>
      </c>
      <c r="F5" t="s">
        <v>172</v>
      </c>
      <c r="G5">
        <v>3</v>
      </c>
      <c r="H5" s="64">
        <f t="shared" ca="1" si="3"/>
        <v>44242.064594848387</v>
      </c>
      <c r="I5" s="63">
        <f t="shared" ca="1" si="0"/>
        <v>8.1026854151411778E-4</v>
      </c>
      <c r="J5" s="67" cm="1">
        <f t="array" aca="1" ref="J5" ca="1">100*OptionPrice('Trading Dashboard'!$K$7,'Trading Dashboard'!$AB$7,'Trading Dashboard'!$K$8,'Trading Dashboard'!$AB$8,'Trading Dashboard'!$AB$10,'Trading Dashboard'!$AB$9,H5,'Trading Dashboard'!$AB$11)</f>
        <v>37.548069103929734</v>
      </c>
      <c r="K5" s="69">
        <f t="shared" ca="1" si="1"/>
        <v>2.7008966233869801E-2</v>
      </c>
    </row>
    <row r="6" spans="1:13" x14ac:dyDescent="0.3">
      <c r="A6">
        <v>100</v>
      </c>
      <c r="B6">
        <v>4</v>
      </c>
      <c r="C6" s="62">
        <f t="shared" si="2"/>
        <v>5.4000000000000005E-5</v>
      </c>
      <c r="D6" s="65" cm="1">
        <f t="array" ref="D6">100*OptionPrice('Trading Dashboard'!$K$7,'Trading Dashboard'!$AB$7,'Trading Dashboard'!$K$8,C6,'Trading Dashboard'!$AB$10,'Trading Dashboard'!$AB$9,'Trading Dashboard'!$K$9,'Trading Dashboard'!$AB$11)</f>
        <v>49.117278926512448</v>
      </c>
      <c r="E6" s="62">
        <f>'Trading Dashboard'!$AB$8</f>
        <v>4.4999999999999999E-4</v>
      </c>
      <c r="F6">
        <v>100</v>
      </c>
      <c r="G6">
        <v>4</v>
      </c>
      <c r="H6" s="64">
        <f t="shared" ca="1" si="3"/>
        <v>44242.132657444454</v>
      </c>
      <c r="I6" s="63">
        <f t="shared" ca="1" si="0"/>
        <v>1.0803582084456197E-3</v>
      </c>
      <c r="J6" s="67" cm="1">
        <f t="array" aca="1" ref="J6" ca="1">100*OptionPrice('Trading Dashboard'!$K$7,'Trading Dashboard'!$AB$7,'Trading Dashboard'!$K$8,'Trading Dashboard'!$AB$8,'Trading Dashboard'!$AB$10,'Trading Dashboard'!$AB$9,H6,'Trading Dashboard'!$AB$11)</f>
        <v>37.676435741654544</v>
      </c>
      <c r="K6" s="69">
        <f t="shared" ca="1" si="1"/>
        <v>2.7008966233869801E-2</v>
      </c>
    </row>
    <row r="7" spans="1:13" x14ac:dyDescent="0.3">
      <c r="A7" t="s">
        <v>126</v>
      </c>
      <c r="B7">
        <v>5</v>
      </c>
      <c r="C7" s="62">
        <f t="shared" si="2"/>
        <v>6.7500000000000001E-5</v>
      </c>
      <c r="D7" s="65" cm="1">
        <f t="array" ref="D7">100*OptionPrice('Trading Dashboard'!$K$7,'Trading Dashboard'!$AB$7,'Trading Dashboard'!$K$8,C7,'Trading Dashboard'!$AB$10,'Trading Dashboard'!$AB$9,'Trading Dashboard'!$K$9,'Trading Dashboard'!$AB$11)</f>
        <v>49.11758193033512</v>
      </c>
      <c r="E7" s="62">
        <f>'Trading Dashboard'!$AB$8</f>
        <v>4.4999999999999999E-4</v>
      </c>
      <c r="F7" t="s">
        <v>126</v>
      </c>
      <c r="G7">
        <v>5</v>
      </c>
      <c r="H7" s="64">
        <f t="shared" ca="1" si="3"/>
        <v>44242.200720040521</v>
      </c>
      <c r="I7" s="63">
        <f t="shared" ca="1" si="0"/>
        <v>1.3504478753771215E-3</v>
      </c>
      <c r="J7" s="67" cm="1">
        <f t="array" aca="1" ref="J7" ca="1">100*OptionPrice('Trading Dashboard'!$K$7,'Trading Dashboard'!$AB$7,'Trading Dashboard'!$K$8,'Trading Dashboard'!$AB$8,'Trading Dashboard'!$AB$10,'Trading Dashboard'!$AB$9,H7,'Trading Dashboard'!$AB$11)</f>
        <v>37.809951522469845</v>
      </c>
      <c r="K7" s="69">
        <f t="shared" ca="1" si="1"/>
        <v>2.7008966233869801E-2</v>
      </c>
    </row>
    <row r="8" spans="1:13" x14ac:dyDescent="0.3">
      <c r="A8">
        <f>(A4-A2)/A6</f>
        <v>1.3500000000000001E-5</v>
      </c>
      <c r="B8">
        <v>6</v>
      </c>
      <c r="C8" s="62">
        <f t="shared" si="2"/>
        <v>8.1000000000000004E-5</v>
      </c>
      <c r="D8" s="65" cm="1">
        <f t="array" ref="D8">100*OptionPrice('Trading Dashboard'!$K$7,'Trading Dashboard'!$AB$7,'Trading Dashboard'!$K$8,C8,'Trading Dashboard'!$AB$10,'Trading Dashboard'!$AB$9,'Trading Dashboard'!$K$9,'Trading Dashboard'!$AB$11)</f>
        <v>49.117884935073576</v>
      </c>
      <c r="E8" s="62">
        <f>'Trading Dashboard'!$AB$8</f>
        <v>4.4999999999999999E-4</v>
      </c>
      <c r="F8" s="61">
        <f ca="1">(F4-F2)/F6</f>
        <v>6.8062596064773967E-2</v>
      </c>
      <c r="G8">
        <v>6</v>
      </c>
      <c r="H8" s="64">
        <f t="shared" ca="1" si="3"/>
        <v>44242.268782636587</v>
      </c>
      <c r="I8" s="63">
        <f t="shared" ca="1" si="0"/>
        <v>1.6205375423086234E-3</v>
      </c>
      <c r="J8" s="67" cm="1">
        <f t="array" aca="1" ref="J8" ca="1">100*OptionPrice('Trading Dashboard'!$K$7,'Trading Dashboard'!$AB$7,'Trading Dashboard'!$K$8,'Trading Dashboard'!$AB$8,'Trading Dashboard'!$AB$10,'Trading Dashboard'!$AB$9,H8,'Trading Dashboard'!$AB$11)</f>
        <v>37.947696973656697</v>
      </c>
      <c r="K8" s="69">
        <f t="shared" ca="1" si="1"/>
        <v>2.7008966233869801E-2</v>
      </c>
    </row>
    <row r="9" spans="1:13" x14ac:dyDescent="0.3">
      <c r="B9">
        <v>7</v>
      </c>
      <c r="C9" s="62">
        <f t="shared" si="2"/>
        <v>9.4500000000000007E-5</v>
      </c>
      <c r="D9" s="65" cm="1">
        <f t="array" ref="D9">100*OptionPrice('Trading Dashboard'!$K$7,'Trading Dashboard'!$AB$7,'Trading Dashboard'!$K$8,C9,'Trading Dashboard'!$AB$10,'Trading Dashboard'!$AB$9,'Trading Dashboard'!$K$9,'Trading Dashboard'!$AB$11)</f>
        <v>49.118187940726443</v>
      </c>
      <c r="E9" s="62">
        <f>'Trading Dashboard'!$AB$8</f>
        <v>4.4999999999999999E-4</v>
      </c>
      <c r="G9">
        <v>7</v>
      </c>
      <c r="H9" s="64">
        <f t="shared" ca="1" si="3"/>
        <v>44242.336845232654</v>
      </c>
      <c r="I9" s="63">
        <f t="shared" ca="1" si="0"/>
        <v>1.8906272092401254E-3</v>
      </c>
      <c r="J9" s="67" cm="1">
        <f t="array" aca="1" ref="J9" ca="1">100*OptionPrice('Trading Dashboard'!$K$7,'Trading Dashboard'!$AB$7,'Trading Dashboard'!$K$8,'Trading Dashboard'!$AB$8,'Trading Dashboard'!$AB$10,'Trading Dashboard'!$AB$9,H9,'Trading Dashboard'!$AB$11)</f>
        <v>38.088903332547673</v>
      </c>
      <c r="K9" s="69">
        <f t="shared" ca="1" si="1"/>
        <v>2.7008966233869801E-2</v>
      </c>
    </row>
    <row r="10" spans="1:13" x14ac:dyDescent="0.3">
      <c r="B10">
        <v>8</v>
      </c>
      <c r="C10" s="62">
        <f t="shared" si="2"/>
        <v>1.0800000000000001E-4</v>
      </c>
      <c r="D10" s="65" cm="1">
        <f t="array" ref="D10">100*OptionPrice('Trading Dashboard'!$K$7,'Trading Dashboard'!$AB$7,'Trading Dashboard'!$K$8,C10,'Trading Dashboard'!$AB$10,'Trading Dashboard'!$AB$9,'Trading Dashboard'!$K$9,'Trading Dashboard'!$AB$11)</f>
        <v>49.118490947296159</v>
      </c>
      <c r="E10" s="62">
        <f>'Trading Dashboard'!$AB$8</f>
        <v>4.4999999999999999E-4</v>
      </c>
      <c r="G10">
        <v>8</v>
      </c>
      <c r="H10" s="64">
        <f t="shared" ca="1" si="3"/>
        <v>44242.404907828721</v>
      </c>
      <c r="I10" s="63">
        <f t="shared" ca="1" si="0"/>
        <v>2.160716876171627E-3</v>
      </c>
      <c r="J10" s="67" cm="1">
        <f t="array" aca="1" ref="J10" ca="1">100*OptionPrice('Trading Dashboard'!$K$7,'Trading Dashboard'!$AB$7,'Trading Dashboard'!$K$8,'Trading Dashboard'!$AB$8,'Trading Dashboard'!$AB$10,'Trading Dashboard'!$AB$9,H10,'Trading Dashboard'!$AB$11)</f>
        <v>38.232926301640262</v>
      </c>
      <c r="K10" s="69">
        <f t="shared" ca="1" si="1"/>
        <v>2.7008966233869801E-2</v>
      </c>
    </row>
    <row r="11" spans="1:13" x14ac:dyDescent="0.3">
      <c r="B11">
        <v>9</v>
      </c>
      <c r="C11" s="62">
        <f t="shared" si="2"/>
        <v>1.2150000000000001E-4</v>
      </c>
      <c r="D11" s="65" cm="1">
        <f t="array" ref="D11">100*OptionPrice('Trading Dashboard'!$K$7,'Trading Dashboard'!$AB$7,'Trading Dashboard'!$K$8,C11,'Trading Dashboard'!$AB$10,'Trading Dashboard'!$AB$9,'Trading Dashboard'!$K$9,'Trading Dashboard'!$AB$11)</f>
        <v>49.118793954781445</v>
      </c>
      <c r="E11" s="62">
        <f>'Trading Dashboard'!$AB$8</f>
        <v>4.4999999999999999E-4</v>
      </c>
      <c r="G11">
        <v>9</v>
      </c>
      <c r="H11" s="64">
        <f t="shared" ca="1" si="3"/>
        <v>44242.472970424787</v>
      </c>
      <c r="I11" s="63">
        <f t="shared" ca="1" si="0"/>
        <v>2.4308065431031291E-3</v>
      </c>
      <c r="J11" s="67" cm="1">
        <f t="array" aca="1" ref="J11" ca="1">100*OptionPrice('Trading Dashboard'!$K$7,'Trading Dashboard'!$AB$7,'Trading Dashboard'!$K$8,'Trading Dashboard'!$AB$8,'Trading Dashboard'!$AB$10,'Trading Dashboard'!$AB$9,H11,'Trading Dashboard'!$AB$11)</f>
        <v>38.379224416408114</v>
      </c>
      <c r="K11" s="69">
        <f t="shared" ca="1" si="1"/>
        <v>2.7008966233869801E-2</v>
      </c>
      <c r="M11" s="1"/>
    </row>
    <row r="12" spans="1:13" x14ac:dyDescent="0.3">
      <c r="B12">
        <v>10</v>
      </c>
      <c r="C12" s="62">
        <f t="shared" si="2"/>
        <v>1.35E-4</v>
      </c>
      <c r="D12" s="65" cm="1">
        <f t="array" ref="D12">100*OptionPrice('Trading Dashboard'!$K$7,'Trading Dashboard'!$AB$7,'Trading Dashboard'!$K$8,C12,'Trading Dashboard'!$AB$10,'Trading Dashboard'!$AB$9,'Trading Dashboard'!$K$9,'Trading Dashboard'!$AB$11)</f>
        <v>49.119096963182287</v>
      </c>
      <c r="E12" s="62">
        <f>'Trading Dashboard'!$AB$8</f>
        <v>4.4999999999999999E-4</v>
      </c>
      <c r="G12">
        <v>10</v>
      </c>
      <c r="H12" s="64">
        <f t="shared" ca="1" si="3"/>
        <v>44242.541033020854</v>
      </c>
      <c r="I12" s="63">
        <f t="shared" ca="1" si="0"/>
        <v>2.7008962100346311E-3</v>
      </c>
      <c r="J12" s="67" cm="1">
        <f t="array" aca="1" ref="J12" ca="1">100*OptionPrice('Trading Dashboard'!$K$7,'Trading Dashboard'!$AB$7,'Trading Dashboard'!$K$8,'Trading Dashboard'!$AB$8,'Trading Dashboard'!$AB$10,'Trading Dashboard'!$AB$9,H12,'Trading Dashboard'!$AB$11)</f>
        <v>38.527341332781333</v>
      </c>
      <c r="K12" s="69">
        <f t="shared" ca="1" si="1"/>
        <v>2.7008966233869801E-2</v>
      </c>
    </row>
    <row r="13" spans="1:13" x14ac:dyDescent="0.3">
      <c r="B13">
        <v>11</v>
      </c>
      <c r="C13" s="62">
        <f t="shared" si="2"/>
        <v>1.485E-4</v>
      </c>
      <c r="D13" s="65" cm="1">
        <f t="array" ref="D13">100*OptionPrice('Trading Dashboard'!$K$7,'Trading Dashboard'!$AB$7,'Trading Dashboard'!$K$8,C13,'Trading Dashboard'!$AB$10,'Trading Dashboard'!$AB$9,'Trading Dashboard'!$K$9,'Trading Dashboard'!$AB$11)</f>
        <v>49.119399972497526</v>
      </c>
      <c r="E13" s="62">
        <f>'Trading Dashboard'!$AB$8</f>
        <v>4.4999999999999999E-4</v>
      </c>
      <c r="G13">
        <v>11</v>
      </c>
      <c r="H13" s="64">
        <f t="shared" ca="1" si="3"/>
        <v>44242.609095616921</v>
      </c>
      <c r="I13" s="63">
        <f t="shared" ca="1" si="0"/>
        <v>2.9709858769661327E-3</v>
      </c>
      <c r="J13" s="67" cm="1">
        <f t="array" aca="1" ref="J13" ca="1">100*OptionPrice('Trading Dashboard'!$K$7,'Trading Dashboard'!$AB$7,'Trading Dashboard'!$K$8,'Trading Dashboard'!$AB$8,'Trading Dashboard'!$AB$10,'Trading Dashboard'!$AB$9,H13,'Trading Dashboard'!$AB$11)</f>
        <v>38.676891358950108</v>
      </c>
      <c r="K13" s="69">
        <f t="shared" ca="1" si="1"/>
        <v>2.7008966233869801E-2</v>
      </c>
    </row>
    <row r="14" spans="1:13" x14ac:dyDescent="0.3">
      <c r="B14">
        <v>12</v>
      </c>
      <c r="C14" s="62">
        <f t="shared" si="2"/>
        <v>1.6200000000000001E-4</v>
      </c>
      <c r="D14" s="65" cm="1">
        <f t="array" ref="D14">100*OptionPrice('Trading Dashboard'!$K$7,'Trading Dashboard'!$AB$7,'Trading Dashboard'!$K$8,C14,'Trading Dashboard'!$AB$10,'Trading Dashboard'!$AB$9,'Trading Dashboard'!$K$9,'Trading Dashboard'!$AB$11)</f>
        <v>49.119702982729621</v>
      </c>
      <c r="E14" s="62">
        <f>'Trading Dashboard'!$AB$8</f>
        <v>4.4999999999999999E-4</v>
      </c>
      <c r="G14">
        <v>12</v>
      </c>
      <c r="H14" s="64">
        <f t="shared" ca="1" si="3"/>
        <v>44242.677158212988</v>
      </c>
      <c r="I14" s="63">
        <f t="shared" ca="1" si="0"/>
        <v>3.2410755438976348E-3</v>
      </c>
      <c r="J14" s="67" cm="1">
        <f t="array" aca="1" ref="J14" ca="1">100*OptionPrice('Trading Dashboard'!$K$7,'Trading Dashboard'!$AB$7,'Trading Dashboard'!$K$8,'Trading Dashboard'!$AB$8,'Trading Dashboard'!$AB$10,'Trading Dashboard'!$AB$9,H14,'Trading Dashboard'!$AB$11)</f>
        <v>38.827547635903521</v>
      </c>
      <c r="K14" s="69">
        <f t="shared" ca="1" si="1"/>
        <v>2.7008966233869801E-2</v>
      </c>
    </row>
    <row r="15" spans="1:13" x14ac:dyDescent="0.3">
      <c r="B15">
        <v>13</v>
      </c>
      <c r="C15" s="62">
        <f t="shared" si="2"/>
        <v>1.7550000000000001E-4</v>
      </c>
      <c r="D15" s="65" cm="1">
        <f t="array" ref="D15">100*OptionPrice('Trading Dashboard'!$K$7,'Trading Dashboard'!$AB$7,'Trading Dashboard'!$K$8,C15,'Trading Dashboard'!$AB$10,'Trading Dashboard'!$AB$9,'Trading Dashboard'!$K$9,'Trading Dashboard'!$AB$11)</f>
        <v>49.120005993877371</v>
      </c>
      <c r="E15" s="62">
        <f>'Trading Dashboard'!$AB$8</f>
        <v>4.4999999999999999E-4</v>
      </c>
      <c r="G15">
        <v>13</v>
      </c>
      <c r="H15" s="64">
        <f t="shared" ca="1" si="3"/>
        <v>44242.745220809054</v>
      </c>
      <c r="I15" s="63">
        <f t="shared" ca="1" si="0"/>
        <v>3.5111652108291368E-3</v>
      </c>
      <c r="J15" s="67" cm="1">
        <f t="array" aca="1" ref="J15" ca="1">100*OptionPrice('Trading Dashboard'!$K$7,'Trading Dashboard'!$AB$7,'Trading Dashboard'!$K$8,'Trading Dashboard'!$AB$8,'Trading Dashboard'!$AB$10,'Trading Dashboard'!$AB$9,H15,'Trading Dashboard'!$AB$11)</f>
        <v>38.979032465807443</v>
      </c>
      <c r="K15" s="69">
        <f t="shared" ca="1" si="1"/>
        <v>2.7008966233869801E-2</v>
      </c>
    </row>
    <row r="16" spans="1:13" x14ac:dyDescent="0.3">
      <c r="B16">
        <v>14</v>
      </c>
      <c r="C16" s="62">
        <f t="shared" si="2"/>
        <v>1.8900000000000001E-4</v>
      </c>
      <c r="D16" s="65" cm="1">
        <f t="array" ref="D16">100*OptionPrice('Trading Dashboard'!$K$7,'Trading Dashboard'!$AB$7,'Trading Dashboard'!$K$8,C16,'Trading Dashboard'!$AB$10,'Trading Dashboard'!$AB$9,'Trading Dashboard'!$K$9,'Trading Dashboard'!$AB$11)</f>
        <v>49.120309005940818</v>
      </c>
      <c r="E16" s="62">
        <f>'Trading Dashboard'!$AB$8</f>
        <v>4.4999999999999999E-4</v>
      </c>
      <c r="G16">
        <v>14</v>
      </c>
      <c r="H16" s="64">
        <f t="shared" ca="1" si="3"/>
        <v>44242.813283405121</v>
      </c>
      <c r="I16" s="63">
        <f t="shared" ca="1" si="0"/>
        <v>3.7812548777606384E-3</v>
      </c>
      <c r="J16" s="67" cm="1">
        <f t="array" aca="1" ref="J16" ca="1">100*OptionPrice('Trading Dashboard'!$K$7,'Trading Dashboard'!$AB$7,'Trading Dashboard'!$K$8,'Trading Dashboard'!$AB$8,'Trading Dashboard'!$AB$10,'Trading Dashboard'!$AB$9,H16,'Trading Dashboard'!$AB$11)</f>
        <v>39.131109377323284</v>
      </c>
      <c r="K16" s="69">
        <f t="shared" ca="1" si="1"/>
        <v>2.7008966233869801E-2</v>
      </c>
    </row>
    <row r="17" spans="2:11" x14ac:dyDescent="0.3">
      <c r="B17">
        <v>15</v>
      </c>
      <c r="C17" s="62">
        <f t="shared" si="2"/>
        <v>2.0250000000000002E-4</v>
      </c>
      <c r="D17" s="65" cm="1">
        <f t="array" ref="D17">100*OptionPrice('Trading Dashboard'!$K$7,'Trading Dashboard'!$AB$7,'Trading Dashboard'!$K$8,C17,'Trading Dashboard'!$AB$10,'Trading Dashboard'!$AB$9,'Trading Dashboard'!$K$9,'Trading Dashboard'!$AB$11)</f>
        <v>49.120612018918422</v>
      </c>
      <c r="E17" s="62">
        <f>'Trading Dashboard'!$AB$8</f>
        <v>4.4999999999999999E-4</v>
      </c>
      <c r="G17">
        <v>15</v>
      </c>
      <c r="H17" s="64">
        <f t="shared" ca="1" si="3"/>
        <v>44242.881346001188</v>
      </c>
      <c r="I17" s="63">
        <f t="shared" ca="1" si="0"/>
        <v>4.0513445446921405E-3</v>
      </c>
      <c r="J17" s="67" cm="1">
        <f t="array" aca="1" ref="J17" ca="1">100*OptionPrice('Trading Dashboard'!$K$7,'Trading Dashboard'!$AB$7,'Trading Dashboard'!$K$8,'Trading Dashboard'!$AB$8,'Trading Dashboard'!$AB$10,'Trading Dashboard'!$AB$9,H17,'Trading Dashboard'!$AB$11)</f>
        <v>39.283576595268933</v>
      </c>
      <c r="K17" s="69">
        <f t="shared" ca="1" si="1"/>
        <v>2.7008966233869801E-2</v>
      </c>
    </row>
    <row r="18" spans="2:11" x14ac:dyDescent="0.3">
      <c r="B18">
        <v>16</v>
      </c>
      <c r="C18" s="62">
        <f t="shared" si="2"/>
        <v>2.1600000000000002E-4</v>
      </c>
      <c r="D18" s="65" cm="1">
        <f t="array" ref="D18">100*OptionPrice('Trading Dashboard'!$K$7,'Trading Dashboard'!$AB$7,'Trading Dashboard'!$K$8,C18,'Trading Dashboard'!$AB$10,'Trading Dashboard'!$AB$9,'Trading Dashboard'!$K$9,'Trading Dashboard'!$AB$11)</f>
        <v>49.120915032812704</v>
      </c>
      <c r="E18" s="62">
        <f>'Trading Dashboard'!$AB$8</f>
        <v>4.4999999999999999E-4</v>
      </c>
      <c r="G18">
        <v>16</v>
      </c>
      <c r="H18" s="64">
        <f t="shared" ca="1" si="3"/>
        <v>44242.949408597255</v>
      </c>
      <c r="I18" s="63">
        <f t="shared" ca="1" si="0"/>
        <v>4.3214342116236421E-3</v>
      </c>
      <c r="J18" s="67" cm="1">
        <f t="array" aca="1" ref="J18" ca="1">100*OptionPrice('Trading Dashboard'!$K$7,'Trading Dashboard'!$AB$7,'Trading Dashboard'!$K$8,'Trading Dashboard'!$AB$8,'Trading Dashboard'!$AB$10,'Trading Dashboard'!$AB$9,H18,'Trading Dashboard'!$AB$11)</f>
        <v>39.436261647249488</v>
      </c>
      <c r="K18" s="69">
        <f t="shared" ca="1" si="1"/>
        <v>2.7008966233869801E-2</v>
      </c>
    </row>
    <row r="19" spans="2:11" x14ac:dyDescent="0.3">
      <c r="B19">
        <v>17</v>
      </c>
      <c r="C19" s="62">
        <f t="shared" si="2"/>
        <v>2.2950000000000002E-4</v>
      </c>
      <c r="D19" s="65" cm="1">
        <f t="array" ref="D19">100*OptionPrice('Trading Dashboard'!$K$7,'Trading Dashboard'!$AB$7,'Trading Dashboard'!$K$8,C19,'Trading Dashboard'!$AB$10,'Trading Dashboard'!$AB$9,'Trading Dashboard'!$K$9,'Trading Dashboard'!$AB$11)</f>
        <v>49.121218047622683</v>
      </c>
      <c r="E19" s="62">
        <f>'Trading Dashboard'!$AB$8</f>
        <v>4.4999999999999999E-4</v>
      </c>
      <c r="G19">
        <v>17</v>
      </c>
      <c r="H19" s="64">
        <f t="shared" ca="1" si="3"/>
        <v>44243.017471193321</v>
      </c>
      <c r="I19" s="63">
        <f t="shared" ca="1" si="0"/>
        <v>4.5915238785551446E-3</v>
      </c>
      <c r="J19" s="67" cm="1">
        <f t="array" aca="1" ref="J19" ca="1">100*OptionPrice('Trading Dashboard'!$K$7,'Trading Dashboard'!$AB$7,'Trading Dashboard'!$K$8,'Trading Dashboard'!$AB$8,'Trading Dashboard'!$AB$10,'Trading Dashboard'!$AB$9,H19,'Trading Dashboard'!$AB$11)</f>
        <v>39.58901689295066</v>
      </c>
      <c r="K19" s="69">
        <f t="shared" ca="1" si="1"/>
        <v>2.7008966233869801E-2</v>
      </c>
    </row>
    <row r="20" spans="2:11" x14ac:dyDescent="0.3">
      <c r="B20">
        <v>18</v>
      </c>
      <c r="C20" s="62">
        <f t="shared" si="2"/>
        <v>2.4300000000000002E-4</v>
      </c>
      <c r="D20" s="65" cm="1">
        <f t="array" ref="D20">100*OptionPrice('Trading Dashboard'!$K$7,'Trading Dashboard'!$AB$7,'Trading Dashboard'!$K$8,C20,'Trading Dashboard'!$AB$10,'Trading Dashboard'!$AB$9,'Trading Dashboard'!$K$9,'Trading Dashboard'!$AB$11)</f>
        <v>49.121521063348261</v>
      </c>
      <c r="E20" s="62">
        <f>'Trading Dashboard'!$AB$8</f>
        <v>4.4999999999999999E-4</v>
      </c>
      <c r="G20">
        <v>18</v>
      </c>
      <c r="H20" s="64">
        <f t="shared" ca="1" si="3"/>
        <v>44243.085533789388</v>
      </c>
      <c r="I20" s="63">
        <f t="shared" ca="1" si="0"/>
        <v>4.8616135454866462E-3</v>
      </c>
      <c r="J20" s="67" cm="1">
        <f t="array" aca="1" ref="J20" ca="1">100*OptionPrice('Trading Dashboard'!$K$7,'Trading Dashboard'!$AB$7,'Trading Dashboard'!$K$8,'Trading Dashboard'!$AB$8,'Trading Dashboard'!$AB$10,'Trading Dashboard'!$AB$9,H20,'Trading Dashboard'!$AB$11)</f>
        <v>39.741715804403931</v>
      </c>
      <c r="K20" s="69">
        <f t="shared" ca="1" si="1"/>
        <v>2.7008966233869801E-2</v>
      </c>
    </row>
    <row r="21" spans="2:11" x14ac:dyDescent="0.3">
      <c r="B21">
        <v>19</v>
      </c>
      <c r="C21" s="62">
        <f t="shared" si="2"/>
        <v>2.565E-4</v>
      </c>
      <c r="D21" s="65" cm="1">
        <f t="array" ref="D21">100*OptionPrice('Trading Dashboard'!$K$7,'Trading Dashboard'!$AB$7,'Trading Dashboard'!$K$8,C21,'Trading Dashboard'!$AB$10,'Trading Dashboard'!$AB$9,'Trading Dashboard'!$K$9,'Trading Dashboard'!$AB$11)</f>
        <v>49.121824079988194</v>
      </c>
      <c r="E21" s="62">
        <f>'Trading Dashboard'!$AB$8</f>
        <v>4.4999999999999999E-4</v>
      </c>
      <c r="G21">
        <v>19</v>
      </c>
      <c r="H21" s="64">
        <f t="shared" ca="1" si="3"/>
        <v>44243.153596385455</v>
      </c>
      <c r="I21" s="63">
        <f t="shared" ca="1" si="0"/>
        <v>5.1317032124181478E-3</v>
      </c>
      <c r="J21" s="67" cm="1">
        <f t="array" aca="1" ref="J21" ca="1">100*OptionPrice('Trading Dashboard'!$K$7,'Trading Dashboard'!$AB$7,'Trading Dashboard'!$K$8,'Trading Dashboard'!$AB$8,'Trading Dashboard'!$AB$10,'Trading Dashboard'!$AB$9,H21,'Trading Dashboard'!$AB$11)</f>
        <v>39.894249859545091</v>
      </c>
      <c r="K21" s="69">
        <f t="shared" ca="1" si="1"/>
        <v>2.7008966233869801E-2</v>
      </c>
    </row>
    <row r="22" spans="2:11" x14ac:dyDescent="0.3">
      <c r="B22">
        <v>20</v>
      </c>
      <c r="C22" s="62">
        <f t="shared" si="2"/>
        <v>2.7E-4</v>
      </c>
      <c r="D22" s="65" cm="1">
        <f t="array" ref="D22">100*OptionPrice('Trading Dashboard'!$K$7,'Trading Dashboard'!$AB$7,'Trading Dashboard'!$K$8,C22,'Trading Dashboard'!$AB$10,'Trading Dashboard'!$AB$9,'Trading Dashboard'!$K$9,'Trading Dashboard'!$AB$11)</f>
        <v>49.122127097544976</v>
      </c>
      <c r="E22" s="62">
        <f>'Trading Dashboard'!$AB$8</f>
        <v>4.4999999999999999E-4</v>
      </c>
      <c r="G22">
        <v>20</v>
      </c>
      <c r="H22" s="64">
        <f t="shared" ca="1" si="3"/>
        <v>44243.221658981522</v>
      </c>
      <c r="I22" s="63">
        <f t="shared" ca="1" si="0"/>
        <v>5.4017928793496503E-3</v>
      </c>
      <c r="J22" s="67" cm="1">
        <f t="array" aca="1" ref="J22" ca="1">100*OptionPrice('Trading Dashboard'!$K$7,'Trading Dashboard'!$AB$7,'Trading Dashboard'!$K$8,'Trading Dashboard'!$AB$8,'Trading Dashboard'!$AB$10,'Trading Dashboard'!$AB$9,H22,'Trading Dashboard'!$AB$11)</f>
        <v>40.046525938413701</v>
      </c>
      <c r="K22" s="69">
        <f t="shared" ca="1" si="1"/>
        <v>2.7008966233869801E-2</v>
      </c>
    </row>
    <row r="23" spans="2:11" x14ac:dyDescent="0.3">
      <c r="B23">
        <v>21</v>
      </c>
      <c r="C23" s="62">
        <f t="shared" si="2"/>
        <v>2.8350000000000001E-4</v>
      </c>
      <c r="D23" s="65" cm="1">
        <f t="array" ref="D23">100*OptionPrice('Trading Dashboard'!$K$7,'Trading Dashboard'!$AB$7,'Trading Dashboard'!$K$8,C23,'Trading Dashboard'!$AB$10,'Trading Dashboard'!$AB$9,'Trading Dashboard'!$K$9,'Trading Dashboard'!$AB$11)</f>
        <v>49.122430116017178</v>
      </c>
      <c r="E23" s="62">
        <f>'Trading Dashboard'!$AB$8</f>
        <v>4.4999999999999999E-4</v>
      </c>
      <c r="G23">
        <v>21</v>
      </c>
      <c r="H23" s="64">
        <f t="shared" ca="1" si="3"/>
        <v>44243.289721577588</v>
      </c>
      <c r="I23" s="63">
        <f t="shared" ca="1" si="0"/>
        <v>5.6718825462811519E-3</v>
      </c>
      <c r="J23" s="67" cm="1">
        <f t="array" aca="1" ref="J23" ca="1">100*OptionPrice('Trading Dashboard'!$K$7,'Trading Dashboard'!$AB$7,'Trading Dashboard'!$K$8,'Trading Dashboard'!$AB$8,'Trading Dashboard'!$AB$10,'Trading Dashboard'!$AB$9,H23,'Trading Dashboard'!$AB$11)</f>
        <v>40.198464132829564</v>
      </c>
      <c r="K23" s="69">
        <f t="shared" ca="1" si="1"/>
        <v>2.7008966233869801E-2</v>
      </c>
    </row>
    <row r="24" spans="2:11" x14ac:dyDescent="0.3">
      <c r="B24">
        <v>22</v>
      </c>
      <c r="C24" s="62">
        <f t="shared" si="2"/>
        <v>2.9700000000000001E-4</v>
      </c>
      <c r="D24" s="65" cm="1">
        <f t="array" ref="D24">100*OptionPrice('Trading Dashboard'!$K$7,'Trading Dashboard'!$AB$7,'Trading Dashboard'!$K$8,C24,'Trading Dashboard'!$AB$10,'Trading Dashboard'!$AB$9,'Trading Dashboard'!$K$9,'Trading Dashboard'!$AB$11)</f>
        <v>49.122733135405156</v>
      </c>
      <c r="E24" s="62">
        <f>'Trading Dashboard'!$AB$8</f>
        <v>4.4999999999999999E-4</v>
      </c>
      <c r="G24">
        <v>22</v>
      </c>
      <c r="H24" s="64">
        <f t="shared" ca="1" si="3"/>
        <v>44243.357784173655</v>
      </c>
      <c r="I24" s="63">
        <f t="shared" ca="1" si="0"/>
        <v>5.9419722132126535E-3</v>
      </c>
      <c r="J24" s="67" cm="1">
        <f t="array" aca="1" ref="J24" ca="1">100*OptionPrice('Trading Dashboard'!$K$7,'Trading Dashboard'!$AB$7,'Trading Dashboard'!$K$8,'Trading Dashboard'!$AB$8,'Trading Dashboard'!$AB$10,'Trading Dashboard'!$AB$9,H24,'Trading Dashboard'!$AB$11)</f>
        <v>40.349995897474408</v>
      </c>
      <c r="K24" s="69">
        <f t="shared" ca="1" si="1"/>
        <v>2.7008966233869801E-2</v>
      </c>
    </row>
    <row r="25" spans="2:11" x14ac:dyDescent="0.3">
      <c r="B25">
        <v>23</v>
      </c>
      <c r="C25" s="62">
        <f t="shared" si="2"/>
        <v>3.1050000000000001E-4</v>
      </c>
      <c r="D25" s="65" cm="1">
        <f t="array" ref="D25">100*OptionPrice('Trading Dashboard'!$K$7,'Trading Dashboard'!$AB$7,'Trading Dashboard'!$K$8,C25,'Trading Dashboard'!$AB$10,'Trading Dashboard'!$AB$9,'Trading Dashboard'!$K$9,'Trading Dashboard'!$AB$11)</f>
        <v>49.123036155707311</v>
      </c>
      <c r="E25" s="62">
        <f>'Trading Dashboard'!$AB$8</f>
        <v>4.4999999999999999E-4</v>
      </c>
      <c r="G25">
        <v>23</v>
      </c>
      <c r="H25" s="64">
        <f t="shared" ca="1" si="3"/>
        <v>44243.425846769722</v>
      </c>
      <c r="I25" s="63">
        <f t="shared" ca="1" si="0"/>
        <v>6.212061880144156E-3</v>
      </c>
      <c r="J25" s="67" cm="1">
        <f t="array" aca="1" ref="J25" ca="1">100*OptionPrice('Trading Dashboard'!$K$7,'Trading Dashboard'!$AB$7,'Trading Dashboard'!$K$8,'Trading Dashboard'!$AB$8,'Trading Dashboard'!$AB$10,'Trading Dashboard'!$AB$9,H25,'Trading Dashboard'!$AB$11)</f>
        <v>40.50106248390783</v>
      </c>
      <c r="K25" s="69">
        <f t="shared" ca="1" si="1"/>
        <v>2.7008966233869801E-2</v>
      </c>
    </row>
    <row r="26" spans="2:11" x14ac:dyDescent="0.3">
      <c r="B26">
        <v>24</v>
      </c>
      <c r="C26" s="62">
        <f t="shared" si="2"/>
        <v>3.2400000000000001E-4</v>
      </c>
      <c r="D26" s="65" cm="1">
        <f t="array" ref="D26">100*OptionPrice('Trading Dashboard'!$K$7,'Trading Dashboard'!$AB$7,'Trading Dashboard'!$K$8,C26,'Trading Dashboard'!$AB$10,'Trading Dashboard'!$AB$9,'Trading Dashboard'!$K$9,'Trading Dashboard'!$AB$11)</f>
        <v>49.12333917692645</v>
      </c>
      <c r="E26" s="62">
        <f>'Trading Dashboard'!$AB$8</f>
        <v>4.4999999999999999E-4</v>
      </c>
      <c r="G26">
        <v>24</v>
      </c>
      <c r="H26" s="64">
        <f t="shared" ca="1" si="3"/>
        <v>44243.493909365789</v>
      </c>
      <c r="I26" s="63">
        <f t="shared" ca="1" si="0"/>
        <v>6.4821515470756576E-3</v>
      </c>
      <c r="J26" s="67" cm="1">
        <f t="array" aca="1" ref="J26" ca="1">100*OptionPrice('Trading Dashboard'!$K$7,'Trading Dashboard'!$AB$7,'Trading Dashboard'!$K$8,'Trading Dashboard'!$AB$8,'Trading Dashboard'!$AB$10,'Trading Dashboard'!$AB$9,H26,'Trading Dashboard'!$AB$11)</f>
        <v>40.651613609925718</v>
      </c>
      <c r="K26" s="69">
        <f t="shared" ca="1" si="1"/>
        <v>2.7008966233869801E-2</v>
      </c>
    </row>
    <row r="27" spans="2:11" x14ac:dyDescent="0.3">
      <c r="B27">
        <v>25</v>
      </c>
      <c r="C27" s="62">
        <f t="shared" si="2"/>
        <v>3.3750000000000002E-4</v>
      </c>
      <c r="D27" s="65" cm="1">
        <f t="array" ref="D27">100*OptionPrice('Trading Dashboard'!$K$7,'Trading Dashboard'!$AB$7,'Trading Dashboard'!$K$8,C27,'Trading Dashboard'!$AB$10,'Trading Dashboard'!$AB$9,'Trading Dashboard'!$K$9,'Trading Dashboard'!$AB$11)</f>
        <v>49.12364219906091</v>
      </c>
      <c r="E27" s="62">
        <f>'Trading Dashboard'!$AB$8</f>
        <v>4.4999999999999999E-4</v>
      </c>
      <c r="G27">
        <v>25</v>
      </c>
      <c r="H27" s="64">
        <f t="shared" ca="1" si="3"/>
        <v>44243.561971961855</v>
      </c>
      <c r="I27" s="63">
        <f t="shared" ca="1" si="0"/>
        <v>6.7522412140071592E-3</v>
      </c>
      <c r="J27" s="67" cm="1">
        <f t="array" aca="1" ref="J27" ca="1">100*OptionPrice('Trading Dashboard'!$K$7,'Trading Dashboard'!$AB$7,'Trading Dashboard'!$K$8,'Trading Dashboard'!$AB$8,'Trading Dashboard'!$AB$10,'Trading Dashboard'!$AB$9,H27,'Trading Dashboard'!$AB$11)</f>
        <v>40.801606325381286</v>
      </c>
      <c r="K27" s="69">
        <f t="shared" ca="1" si="1"/>
        <v>2.7008966233869801E-2</v>
      </c>
    </row>
    <row r="28" spans="2:11" x14ac:dyDescent="0.3">
      <c r="B28">
        <v>26</v>
      </c>
      <c r="C28" s="62">
        <f t="shared" si="2"/>
        <v>3.5100000000000002E-4</v>
      </c>
      <c r="D28" s="65" cm="1">
        <f t="array" ref="D28">100*OptionPrice('Trading Dashboard'!$K$7,'Trading Dashboard'!$AB$7,'Trading Dashboard'!$K$8,C28,'Trading Dashboard'!$AB$10,'Trading Dashboard'!$AB$9,'Trading Dashboard'!$K$9,'Trading Dashboard'!$AB$11)</f>
        <v>49.123945222110876</v>
      </c>
      <c r="E28" s="62">
        <f>'Trading Dashboard'!$AB$8</f>
        <v>4.4999999999999999E-4</v>
      </c>
      <c r="G28">
        <v>26</v>
      </c>
      <c r="H28" s="64">
        <f t="shared" ca="1" si="3"/>
        <v>44243.630034557922</v>
      </c>
      <c r="I28" s="63">
        <f t="shared" ca="1" si="0"/>
        <v>7.0223308809386617E-3</v>
      </c>
      <c r="J28" s="67" cm="1">
        <f t="array" aca="1" ref="J28" ca="1">100*OptionPrice('Trading Dashboard'!$K$7,'Trading Dashboard'!$AB$7,'Trading Dashboard'!$K$8,'Trading Dashboard'!$AB$8,'Trading Dashboard'!$AB$10,'Trading Dashboard'!$AB$9,H28,'Trading Dashboard'!$AB$11)</f>
        <v>40.951004042571498</v>
      </c>
      <c r="K28" s="69">
        <f t="shared" ca="1" si="1"/>
        <v>2.7008966233869801E-2</v>
      </c>
    </row>
    <row r="29" spans="2:11" x14ac:dyDescent="0.3">
      <c r="B29">
        <v>27</v>
      </c>
      <c r="C29" s="62">
        <f t="shared" si="2"/>
        <v>3.6450000000000002E-4</v>
      </c>
      <c r="D29" s="65" cm="1">
        <f t="array" ref="D29">100*OptionPrice('Trading Dashboard'!$K$7,'Trading Dashboard'!$AB$7,'Trading Dashboard'!$K$8,C29,'Trading Dashboard'!$AB$10,'Trading Dashboard'!$AB$9,'Trading Dashboard'!$K$9,'Trading Dashboard'!$AB$11)</f>
        <v>49.124248246075382</v>
      </c>
      <c r="E29" s="62">
        <f>'Trading Dashboard'!$AB$8</f>
        <v>4.4999999999999999E-4</v>
      </c>
      <c r="G29">
        <v>27</v>
      </c>
      <c r="H29" s="64">
        <f t="shared" ca="1" si="3"/>
        <v>44243.698097153989</v>
      </c>
      <c r="I29" s="63">
        <f t="shared" ca="1" si="0"/>
        <v>7.2924205478701633E-3</v>
      </c>
      <c r="J29" s="67" cm="1">
        <f t="array" aca="1" ref="J29" ca="1">100*OptionPrice('Trading Dashboard'!$K$7,'Trading Dashboard'!$AB$7,'Trading Dashboard'!$K$8,'Trading Dashboard'!$AB$8,'Trading Dashboard'!$AB$10,'Trading Dashboard'!$AB$9,H29,'Trading Dashboard'!$AB$11)</f>
        <v>41.099775704962632</v>
      </c>
      <c r="K29" s="69">
        <f t="shared" ca="1" si="1"/>
        <v>2.7008966233869801E-2</v>
      </c>
    </row>
    <row r="30" spans="2:11" x14ac:dyDescent="0.3">
      <c r="B30">
        <v>28</v>
      </c>
      <c r="C30" s="62">
        <f t="shared" si="2"/>
        <v>3.7800000000000003E-4</v>
      </c>
      <c r="D30" s="65" cm="1">
        <f t="array" ref="D30">100*OptionPrice('Trading Dashboard'!$K$7,'Trading Dashboard'!$AB$7,'Trading Dashboard'!$K$8,C30,'Trading Dashboard'!$AB$10,'Trading Dashboard'!$AB$9,'Trading Dashboard'!$K$9,'Trading Dashboard'!$AB$11)</f>
        <v>49.12455127095641</v>
      </c>
      <c r="E30" s="62">
        <f>'Trading Dashboard'!$AB$8</f>
        <v>4.4999999999999999E-4</v>
      </c>
      <c r="G30">
        <v>28</v>
      </c>
      <c r="H30" s="64">
        <f t="shared" ca="1" si="3"/>
        <v>44243.766159750056</v>
      </c>
      <c r="I30" s="63">
        <f t="shared" ca="1" si="0"/>
        <v>7.5625102148016649E-3</v>
      </c>
      <c r="J30" s="67" cm="1">
        <f t="array" aca="1" ref="J30" ca="1">100*OptionPrice('Trading Dashboard'!$K$7,'Trading Dashboard'!$AB$7,'Trading Dashboard'!$K$8,'Trading Dashboard'!$AB$8,'Trading Dashboard'!$AB$10,'Trading Dashboard'!$AB$9,H30,'Trading Dashboard'!$AB$11)</f>
        <v>41.2478950725624</v>
      </c>
      <c r="K30" s="69">
        <f t="shared" ca="1" si="1"/>
        <v>2.7008966233869801E-2</v>
      </c>
    </row>
    <row r="31" spans="2:11" x14ac:dyDescent="0.3">
      <c r="B31">
        <v>29</v>
      </c>
      <c r="C31" s="62">
        <f t="shared" si="2"/>
        <v>3.9150000000000003E-4</v>
      </c>
      <c r="D31" s="65" cm="1">
        <f t="array" ref="D31">100*OptionPrice('Trading Dashboard'!$K$7,'Trading Dashboard'!$AB$7,'Trading Dashboard'!$K$8,C31,'Trading Dashboard'!$AB$10,'Trading Dashboard'!$AB$9,'Trading Dashboard'!$K$9,'Trading Dashboard'!$AB$11)</f>
        <v>49.12485429675327</v>
      </c>
      <c r="E31" s="62">
        <f>'Trading Dashboard'!$AB$8</f>
        <v>4.4999999999999999E-4</v>
      </c>
      <c r="G31">
        <v>29</v>
      </c>
      <c r="H31" s="64">
        <f t="shared" ca="1" si="3"/>
        <v>44243.834222346122</v>
      </c>
      <c r="I31" s="63">
        <f t="shared" ca="1" si="0"/>
        <v>7.8325998817331665E-3</v>
      </c>
      <c r="J31" s="67" cm="1">
        <f t="array" aca="1" ref="J31" ca="1">100*OptionPrice('Trading Dashboard'!$K$7,'Trading Dashboard'!$AB$7,'Trading Dashboard'!$K$8,'Trading Dashboard'!$AB$8,'Trading Dashboard'!$AB$10,'Trading Dashboard'!$AB$9,H31,'Trading Dashboard'!$AB$11)</f>
        <v>41.39534010598819</v>
      </c>
      <c r="K31" s="69">
        <f t="shared" ca="1" si="1"/>
        <v>2.7008966233869801E-2</v>
      </c>
    </row>
    <row r="32" spans="2:11" x14ac:dyDescent="0.3">
      <c r="B32">
        <v>30</v>
      </c>
      <c r="C32" s="62">
        <f t="shared" si="2"/>
        <v>4.0500000000000003E-4</v>
      </c>
      <c r="D32" s="65" cm="1">
        <f t="array" ref="D32">100*OptionPrice('Trading Dashboard'!$K$7,'Trading Dashboard'!$AB$7,'Trading Dashboard'!$K$8,C32,'Trading Dashboard'!$AB$10,'Trading Dashboard'!$AB$9,'Trading Dashboard'!$K$9,'Trading Dashboard'!$AB$11)</f>
        <v>49.125157323465388</v>
      </c>
      <c r="E32" s="62">
        <f>'Trading Dashboard'!$AB$8</f>
        <v>4.4999999999999999E-4</v>
      </c>
      <c r="G32">
        <v>30</v>
      </c>
      <c r="H32" s="64">
        <f t="shared" ca="1" si="3"/>
        <v>44243.902284942189</v>
      </c>
      <c r="I32" s="63">
        <f t="shared" ca="1" si="0"/>
        <v>8.102689548664669E-3</v>
      </c>
      <c r="J32" s="67" cm="1">
        <f t="array" aca="1" ref="J32" ca="1">100*OptionPrice('Trading Dashboard'!$K$7,'Trading Dashboard'!$AB$7,'Trading Dashboard'!$K$8,'Trading Dashboard'!$AB$8,'Trading Dashboard'!$AB$10,'Trading Dashboard'!$AB$9,H32,'Trading Dashboard'!$AB$11)</f>
        <v>41.542092434279795</v>
      </c>
      <c r="K32" s="69">
        <f t="shared" ca="1" si="1"/>
        <v>2.7008966233869801E-2</v>
      </c>
    </row>
    <row r="33" spans="2:11" x14ac:dyDescent="0.3">
      <c r="B33">
        <v>31</v>
      </c>
      <c r="C33" s="62">
        <f t="shared" si="2"/>
        <v>4.1850000000000004E-4</v>
      </c>
      <c r="D33" s="65" cm="1">
        <f t="array" ref="D33">100*OptionPrice('Trading Dashboard'!$K$7,'Trading Dashboard'!$AB$7,'Trading Dashboard'!$K$8,C33,'Trading Dashboard'!$AB$10,'Trading Dashboard'!$AB$9,'Trading Dashboard'!$K$9,'Trading Dashboard'!$AB$11)</f>
        <v>49.125460351091924</v>
      </c>
      <c r="E33" s="62">
        <f>'Trading Dashboard'!$AB$8</f>
        <v>4.4999999999999999E-4</v>
      </c>
      <c r="G33">
        <v>31</v>
      </c>
      <c r="H33" s="64">
        <f t="shared" ca="1" si="3"/>
        <v>44243.970347538256</v>
      </c>
      <c r="I33" s="63">
        <f t="shared" ca="1" si="0"/>
        <v>8.3727792155961715E-3</v>
      </c>
      <c r="J33" s="67" cm="1">
        <f t="array" aca="1" ref="J33" ca="1">100*OptionPrice('Trading Dashboard'!$K$7,'Trading Dashboard'!$AB$7,'Trading Dashboard'!$K$8,'Trading Dashboard'!$AB$8,'Trading Dashboard'!$AB$10,'Trading Dashboard'!$AB$9,H33,'Trading Dashboard'!$AB$11)</f>
        <v>41.688136893987746</v>
      </c>
      <c r="K33" s="69">
        <f t="shared" ca="1" si="1"/>
        <v>2.7008966233869801E-2</v>
      </c>
    </row>
    <row r="34" spans="2:11" x14ac:dyDescent="0.3">
      <c r="B34">
        <v>32</v>
      </c>
      <c r="C34" s="62">
        <f t="shared" si="2"/>
        <v>4.3200000000000004E-4</v>
      </c>
      <c r="D34" s="65" cm="1">
        <f t="array" ref="D34">100*OptionPrice('Trading Dashboard'!$K$7,'Trading Dashboard'!$AB$7,'Trading Dashboard'!$K$8,C34,'Trading Dashboard'!$AB$10,'Trading Dashboard'!$AB$9,'Trading Dashboard'!$K$9,'Trading Dashboard'!$AB$11)</f>
        <v>49.125763379635288</v>
      </c>
      <c r="E34" s="62">
        <f>'Trading Dashboard'!$AB$8</f>
        <v>4.4999999999999999E-4</v>
      </c>
      <c r="G34">
        <v>32</v>
      </c>
      <c r="H34" s="64">
        <f t="shared" ca="1" si="3"/>
        <v>44244.038410134322</v>
      </c>
      <c r="I34" s="63">
        <f t="shared" ca="1" si="0"/>
        <v>8.6428688825276722E-3</v>
      </c>
      <c r="J34" s="67" cm="1">
        <f t="array" aca="1" ref="J34" ca="1">100*OptionPrice('Trading Dashboard'!$K$7,'Trading Dashboard'!$AB$7,'Trading Dashboard'!$K$8,'Trading Dashboard'!$AB$8,'Trading Dashboard'!$AB$10,'Trading Dashboard'!$AB$9,H34,'Trading Dashboard'!$AB$11)</f>
        <v>41.833461129100016</v>
      </c>
      <c r="K34" s="69">
        <f t="shared" ca="1" si="1"/>
        <v>2.7008966233869801E-2</v>
      </c>
    </row>
    <row r="35" spans="2:11" x14ac:dyDescent="0.3">
      <c r="B35">
        <v>33</v>
      </c>
      <c r="C35" s="62">
        <f t="shared" si="2"/>
        <v>4.4550000000000004E-4</v>
      </c>
      <c r="D35" s="65" cm="1">
        <f t="array" ref="D35">100*OptionPrice('Trading Dashboard'!$K$7,'Trading Dashboard'!$AB$7,'Trading Dashboard'!$K$8,C35,'Trading Dashboard'!$AB$10,'Trading Dashboard'!$AB$9,'Trading Dashboard'!$K$9,'Trading Dashboard'!$AB$11)</f>
        <v>49.126066409094307</v>
      </c>
      <c r="E35" s="62">
        <f>'Trading Dashboard'!$AB$8</f>
        <v>4.4999999999999999E-4</v>
      </c>
      <c r="G35">
        <v>33</v>
      </c>
      <c r="H35" s="64">
        <f t="shared" ca="1" si="3"/>
        <v>44244.106472730389</v>
      </c>
      <c r="I35" s="63">
        <f t="shared" ca="1" si="0"/>
        <v>8.9129585494591747E-3</v>
      </c>
      <c r="J35" s="67" cm="1">
        <f t="array" aca="1" ref="J35" ca="1">100*OptionPrice('Trading Dashboard'!$K$7,'Trading Dashboard'!$AB$7,'Trading Dashboard'!$K$8,'Trading Dashboard'!$AB$8,'Trading Dashboard'!$AB$10,'Trading Dashboard'!$AB$9,H35,'Trading Dashboard'!$AB$11)</f>
        <v>41.978055243035662</v>
      </c>
      <c r="K35" s="69">
        <f t="shared" ca="1" si="1"/>
        <v>2.7008966233869801E-2</v>
      </c>
    </row>
    <row r="36" spans="2:11" x14ac:dyDescent="0.3">
      <c r="B36">
        <v>34</v>
      </c>
      <c r="C36" s="62">
        <f t="shared" si="2"/>
        <v>4.5900000000000004E-4</v>
      </c>
      <c r="D36" s="65" cm="1">
        <f t="array" ref="D36">100*OptionPrice('Trading Dashboard'!$K$7,'Trading Dashboard'!$AB$7,'Trading Dashboard'!$K$8,C36,'Trading Dashboard'!$AB$10,'Trading Dashboard'!$AB$9,'Trading Dashboard'!$K$9,'Trading Dashboard'!$AB$11)</f>
        <v>49.126369439468306</v>
      </c>
      <c r="E36" s="62">
        <f>'Trading Dashboard'!$AB$8</f>
        <v>4.4999999999999999E-4</v>
      </c>
      <c r="G36">
        <v>34</v>
      </c>
      <c r="H36" s="64">
        <f t="shared" ca="1" si="3"/>
        <v>44244.174535326456</v>
      </c>
      <c r="I36" s="63">
        <f t="shared" ca="1" si="0"/>
        <v>9.1830482163906772E-3</v>
      </c>
      <c r="J36" s="67" cm="1">
        <f t="array" aca="1" ref="J36" ca="1">100*OptionPrice('Trading Dashboard'!$K$7,'Trading Dashboard'!$AB$7,'Trading Dashboard'!$K$8,'Trading Dashboard'!$AB$8,'Trading Dashboard'!$AB$10,'Trading Dashboard'!$AB$9,H36,'Trading Dashboard'!$AB$11)</f>
        <v>42.121911495318415</v>
      </c>
      <c r="K36" s="69">
        <f t="shared" ca="1" si="1"/>
        <v>2.7008966233869801E-2</v>
      </c>
    </row>
    <row r="37" spans="2:11" x14ac:dyDescent="0.3">
      <c r="B37">
        <v>35</v>
      </c>
      <c r="C37" s="62">
        <f t="shared" si="2"/>
        <v>4.7250000000000005E-4</v>
      </c>
      <c r="D37" s="65" cm="1">
        <f t="array" ref="D37">100*OptionPrice('Trading Dashboard'!$K$7,'Trading Dashboard'!$AB$7,'Trading Dashboard'!$K$8,C37,'Trading Dashboard'!$AB$10,'Trading Dashboard'!$AB$9,'Trading Dashboard'!$K$9,'Trading Dashboard'!$AB$11)</f>
        <v>49.126672470757029</v>
      </c>
      <c r="E37" s="62">
        <f>'Trading Dashboard'!$AB$8</f>
        <v>4.4999999999999999E-4</v>
      </c>
      <c r="G37">
        <v>35</v>
      </c>
      <c r="H37" s="64">
        <f t="shared" ca="1" si="3"/>
        <v>44244.242597922523</v>
      </c>
      <c r="I37" s="63">
        <f t="shared" ca="1" si="0"/>
        <v>9.4531378833221779E-3</v>
      </c>
      <c r="J37" s="67" cm="1">
        <f t="array" aca="1" ref="J37" ca="1">100*OptionPrice('Trading Dashboard'!$K$7,'Trading Dashboard'!$AB$7,'Trading Dashboard'!$K$8,'Trading Dashboard'!$AB$8,'Trading Dashboard'!$AB$10,'Trading Dashboard'!$AB$9,H37,'Trading Dashboard'!$AB$11)</f>
        <v>42.265024036686476</v>
      </c>
      <c r="K37" s="69">
        <f t="shared" ca="1" si="1"/>
        <v>2.7008966233869801E-2</v>
      </c>
    </row>
    <row r="38" spans="2:11" x14ac:dyDescent="0.3">
      <c r="B38">
        <v>36</v>
      </c>
      <c r="C38" s="62">
        <f t="shared" si="2"/>
        <v>4.8600000000000005E-4</v>
      </c>
      <c r="D38" s="65" cm="1">
        <f t="array" ref="D38">100*OptionPrice('Trading Dashboard'!$K$7,'Trading Dashboard'!$AB$7,'Trading Dashboard'!$K$8,C38,'Trading Dashboard'!$AB$10,'Trading Dashboard'!$AB$9,'Trading Dashboard'!$K$9,'Trading Dashboard'!$AB$11)</f>
        <v>49.12697550296231</v>
      </c>
      <c r="E38" s="62">
        <f>'Trading Dashboard'!$AB$8</f>
        <v>4.4999999999999999E-4</v>
      </c>
      <c r="G38">
        <v>36</v>
      </c>
      <c r="H38" s="64">
        <f t="shared" ca="1" si="3"/>
        <v>44244.310660518589</v>
      </c>
      <c r="I38" s="63">
        <f t="shared" ca="1" si="0"/>
        <v>9.7232275502536804E-3</v>
      </c>
      <c r="J38" s="67" cm="1">
        <f t="array" aca="1" ref="J38" ca="1">100*OptionPrice('Trading Dashboard'!$K$7,'Trading Dashboard'!$AB$7,'Trading Dashboard'!$K$8,'Trading Dashboard'!$AB$8,'Trading Dashboard'!$AB$10,'Trading Dashboard'!$AB$9,H38,'Trading Dashboard'!$AB$11)</f>
        <v>42.407388677352657</v>
      </c>
      <c r="K38" s="69">
        <f t="shared" ca="1" si="1"/>
        <v>2.7008966233869801E-2</v>
      </c>
    </row>
    <row r="39" spans="2:11" x14ac:dyDescent="0.3">
      <c r="B39">
        <v>37</v>
      </c>
      <c r="C39" s="62">
        <f t="shared" si="2"/>
        <v>4.9950000000000005E-4</v>
      </c>
      <c r="D39" s="65" cm="1">
        <f t="array" ref="D39">100*OptionPrice('Trading Dashboard'!$K$7,'Trading Dashboard'!$AB$7,'Trading Dashboard'!$K$8,C39,'Trading Dashboard'!$AB$10,'Trading Dashboard'!$AB$9,'Trading Dashboard'!$K$9,'Trading Dashboard'!$AB$11)</f>
        <v>49.127278536083203</v>
      </c>
      <c r="E39" s="62">
        <f>'Trading Dashboard'!$AB$8</f>
        <v>4.4999999999999999E-4</v>
      </c>
      <c r="G39">
        <v>37</v>
      </c>
      <c r="H39" s="64">
        <f t="shared" ca="1" si="3"/>
        <v>44244.378723114656</v>
      </c>
      <c r="I39" s="63">
        <f t="shared" ca="1" si="0"/>
        <v>9.9933172171851829E-3</v>
      </c>
      <c r="J39" s="67" cm="1">
        <f t="array" aca="1" ref="J39" ca="1">100*OptionPrice('Trading Dashboard'!$K$7,'Trading Dashboard'!$AB$7,'Trading Dashboard'!$K$8,'Trading Dashboard'!$AB$8,'Trading Dashboard'!$AB$10,'Trading Dashboard'!$AB$9,H39,'Trading Dashboard'!$AB$11)</f>
        <v>42.549002683914097</v>
      </c>
      <c r="K39" s="69">
        <f t="shared" ca="1" si="1"/>
        <v>2.7008966233869801E-2</v>
      </c>
    </row>
    <row r="40" spans="2:11" x14ac:dyDescent="0.3">
      <c r="B40">
        <v>38</v>
      </c>
      <c r="C40" s="62">
        <f t="shared" si="2"/>
        <v>5.13E-4</v>
      </c>
      <c r="D40" s="65" cm="1">
        <f t="array" ref="D40">100*OptionPrice('Trading Dashboard'!$K$7,'Trading Dashboard'!$AB$7,'Trading Dashboard'!$K$8,C40,'Trading Dashboard'!$AB$10,'Trading Dashboard'!$AB$9,'Trading Dashboard'!$K$9,'Trading Dashboard'!$AB$11)</f>
        <v>49.127581570119588</v>
      </c>
      <c r="E40" s="62">
        <f>'Trading Dashboard'!$AB$8</f>
        <v>4.4999999999999999E-4</v>
      </c>
      <c r="G40">
        <v>38</v>
      </c>
      <c r="H40" s="64">
        <f t="shared" ca="1" si="3"/>
        <v>44244.446785710723</v>
      </c>
      <c r="I40" s="63">
        <f t="shared" ca="1" si="0"/>
        <v>1.0263406884116684E-2</v>
      </c>
      <c r="J40" s="67" cm="1">
        <f t="array" aca="1" ref="J40" ca="1">100*OptionPrice('Trading Dashboard'!$K$7,'Trading Dashboard'!$AB$7,'Trading Dashboard'!$K$8,'Trading Dashboard'!$AB$8,'Trading Dashboard'!$AB$10,'Trading Dashboard'!$AB$9,H40,'Trading Dashboard'!$AB$11)</f>
        <v>42.689864601087656</v>
      </c>
      <c r="K40" s="69">
        <f t="shared" ca="1" si="1"/>
        <v>2.7008966233869801E-2</v>
      </c>
    </row>
    <row r="41" spans="2:11" x14ac:dyDescent="0.3">
      <c r="B41">
        <v>39</v>
      </c>
      <c r="C41" s="62">
        <f t="shared" si="2"/>
        <v>5.2649999999999995E-4</v>
      </c>
      <c r="D41" s="65" cm="1">
        <f t="array" ref="D41">100*OptionPrice('Trading Dashboard'!$K$7,'Trading Dashboard'!$AB$7,'Trading Dashboard'!$K$8,C41,'Trading Dashboard'!$AB$10,'Trading Dashboard'!$AB$9,'Trading Dashboard'!$K$9,'Trading Dashboard'!$AB$11)</f>
        <v>49.127884605070179</v>
      </c>
      <c r="E41" s="62">
        <f>'Trading Dashboard'!$AB$8</f>
        <v>4.4999999999999999E-4</v>
      </c>
      <c r="G41">
        <v>39</v>
      </c>
      <c r="H41" s="64">
        <f t="shared" ca="1" si="3"/>
        <v>44244.51484830679</v>
      </c>
      <c r="I41" s="63">
        <f t="shared" ca="1" si="0"/>
        <v>1.0533496551048186E-2</v>
      </c>
      <c r="J41" s="67" cm="1">
        <f t="array" aca="1" ref="J41" ca="1">100*OptionPrice('Trading Dashboard'!$K$7,'Trading Dashboard'!$AB$7,'Trading Dashboard'!$K$8,'Trading Dashboard'!$AB$8,'Trading Dashboard'!$AB$10,'Trading Dashboard'!$AB$9,H41,'Trading Dashboard'!$AB$11)</f>
        <v>42.829974094995016</v>
      </c>
      <c r="K41" s="69">
        <f t="shared" ca="1" si="1"/>
        <v>2.7008966233869801E-2</v>
      </c>
    </row>
    <row r="42" spans="2:11" x14ac:dyDescent="0.3">
      <c r="B42">
        <v>40</v>
      </c>
      <c r="C42" s="62">
        <f t="shared" si="2"/>
        <v>5.399999999999999E-4</v>
      </c>
      <c r="D42" s="65" cm="1">
        <f t="array" ref="D42">100*OptionPrice('Trading Dashboard'!$K$7,'Trading Dashboard'!$AB$7,'Trading Dashboard'!$K$8,C42,'Trading Dashboard'!$AB$10,'Trading Dashboard'!$AB$9,'Trading Dashboard'!$K$9,'Trading Dashboard'!$AB$11)</f>
        <v>49.128187640937469</v>
      </c>
      <c r="E42" s="62">
        <f>'Trading Dashboard'!$AB$8</f>
        <v>4.4999999999999999E-4</v>
      </c>
      <c r="G42">
        <v>40</v>
      </c>
      <c r="H42" s="64">
        <f t="shared" ca="1" si="3"/>
        <v>44244.582910902856</v>
      </c>
      <c r="I42" s="63">
        <f t="shared" ca="1" si="0"/>
        <v>1.0803586217979689E-2</v>
      </c>
      <c r="J42" s="67" cm="1">
        <f t="array" aca="1" ref="J42" ca="1">100*OptionPrice('Trading Dashboard'!$K$7,'Trading Dashboard'!$AB$7,'Trading Dashboard'!$K$8,'Trading Dashboard'!$AB$8,'Trading Dashboard'!$AB$10,'Trading Dashboard'!$AB$9,H42,'Trading Dashboard'!$AB$11)</f>
        <v>42.969331815197513</v>
      </c>
      <c r="K42" s="69">
        <f t="shared" ca="1" si="1"/>
        <v>2.7008966233869801E-2</v>
      </c>
    </row>
    <row r="43" spans="2:11" x14ac:dyDescent="0.3">
      <c r="B43">
        <v>41</v>
      </c>
      <c r="C43" s="62">
        <f t="shared" si="2"/>
        <v>5.5349999999999985E-4</v>
      </c>
      <c r="D43" s="65" cm="1">
        <f t="array" ref="D43">100*OptionPrice('Trading Dashboard'!$K$7,'Trading Dashboard'!$AB$7,'Trading Dashboard'!$K$8,C43,'Trading Dashboard'!$AB$10,'Trading Dashboard'!$AB$9,'Trading Dashboard'!$K$9,'Trading Dashboard'!$AB$11)</f>
        <v>49.128490677720556</v>
      </c>
      <c r="E43" s="62">
        <f>'Trading Dashboard'!$AB$8</f>
        <v>4.4999999999999999E-4</v>
      </c>
      <c r="G43">
        <v>41</v>
      </c>
      <c r="H43" s="64">
        <f t="shared" ca="1" si="3"/>
        <v>44244.650973498923</v>
      </c>
      <c r="I43" s="63">
        <f t="shared" ca="1" si="0"/>
        <v>1.1073675884911189E-2</v>
      </c>
      <c r="J43" s="67" cm="1">
        <f t="array" aca="1" ref="J43" ca="1">100*OptionPrice('Trading Dashboard'!$K$7,'Trading Dashboard'!$AB$7,'Trading Dashboard'!$K$8,'Trading Dashboard'!$AB$8,'Trading Dashboard'!$AB$10,'Trading Dashboard'!$AB$9,H43,'Trading Dashboard'!$AB$11)</f>
        <v>43.107939273074315</v>
      </c>
      <c r="K43" s="69">
        <f t="shared" ca="1" si="1"/>
        <v>2.7008966233869801E-2</v>
      </c>
    </row>
    <row r="44" spans="2:11" x14ac:dyDescent="0.3">
      <c r="B44">
        <v>42</v>
      </c>
      <c r="C44" s="62">
        <f t="shared" si="2"/>
        <v>5.669999999999998E-4</v>
      </c>
      <c r="D44" s="65" cm="1">
        <f t="array" ref="D44">100*OptionPrice('Trading Dashboard'!$K$7,'Trading Dashboard'!$AB$7,'Trading Dashboard'!$K$8,C44,'Trading Dashboard'!$AB$10,'Trading Dashboard'!$AB$9,'Trading Dashboard'!$K$9,'Trading Dashboard'!$AB$11)</f>
        <v>49.128793715418709</v>
      </c>
      <c r="E44" s="62">
        <f>'Trading Dashboard'!$AB$8</f>
        <v>4.4999999999999999E-4</v>
      </c>
      <c r="G44">
        <v>42</v>
      </c>
      <c r="H44" s="64">
        <f t="shared" ca="1" si="3"/>
        <v>44244.71903609499</v>
      </c>
      <c r="I44" s="63">
        <f t="shared" ca="1" si="0"/>
        <v>1.1343765551842692E-2</v>
      </c>
      <c r="J44" s="67" cm="1">
        <f t="array" aca="1" ref="J44" ca="1">100*OptionPrice('Trading Dashboard'!$K$7,'Trading Dashboard'!$AB$7,'Trading Dashboard'!$K$8,'Trading Dashboard'!$AB$8,'Trading Dashboard'!$AB$10,'Trading Dashboard'!$AB$9,H44,'Trading Dashboard'!$AB$11)</f>
        <v>43.245798734477432</v>
      </c>
      <c r="K44" s="69">
        <f t="shared" ca="1" si="1"/>
        <v>2.7008966233869801E-2</v>
      </c>
    </row>
    <row r="45" spans="2:11" x14ac:dyDescent="0.3">
      <c r="B45">
        <v>43</v>
      </c>
      <c r="C45" s="62">
        <f t="shared" si="2"/>
        <v>5.8049999999999974E-4</v>
      </c>
      <c r="D45" s="65" cm="1">
        <f t="array" ref="D45">100*OptionPrice('Trading Dashboard'!$K$7,'Trading Dashboard'!$AB$7,'Trading Dashboard'!$K$8,C45,'Trading Dashboard'!$AB$10,'Trading Dashboard'!$AB$9,'Trading Dashboard'!$K$9,'Trading Dashboard'!$AB$11)</f>
        <v>49.129096754031295</v>
      </c>
      <c r="E45" s="62">
        <f>'Trading Dashboard'!$AB$8</f>
        <v>4.4999999999999999E-4</v>
      </c>
      <c r="G45">
        <v>43</v>
      </c>
      <c r="H45" s="64">
        <f t="shared" ca="1" si="3"/>
        <v>44244.787098691057</v>
      </c>
      <c r="I45" s="63">
        <f t="shared" ca="1" si="0"/>
        <v>1.1613855218774194E-2</v>
      </c>
      <c r="J45" s="67" cm="1">
        <f t="array" aca="1" ref="J45" ca="1">100*OptionPrice('Trading Dashboard'!$K$7,'Trading Dashboard'!$AB$7,'Trading Dashboard'!$K$8,'Trading Dashboard'!$AB$8,'Trading Dashboard'!$AB$10,'Trading Dashboard'!$AB$9,H45,'Trading Dashboard'!$AB$11)</f>
        <v>43.382913124873326</v>
      </c>
      <c r="K45" s="69">
        <f t="shared" ca="1" si="1"/>
        <v>2.7008966233869801E-2</v>
      </c>
    </row>
    <row r="46" spans="2:11" x14ac:dyDescent="0.3">
      <c r="B46">
        <v>44</v>
      </c>
      <c r="C46" s="62">
        <f t="shared" si="2"/>
        <v>5.9399999999999969E-4</v>
      </c>
      <c r="D46" s="65" cm="1">
        <f t="array" ref="D46">100*OptionPrice('Trading Dashboard'!$K$7,'Trading Dashboard'!$AB$7,'Trading Dashboard'!$K$8,C46,'Trading Dashboard'!$AB$10,'Trading Dashboard'!$AB$9,'Trading Dashboard'!$K$9,'Trading Dashboard'!$AB$11)</f>
        <v>49.129399793560644</v>
      </c>
      <c r="E46" s="62">
        <f>'Trading Dashboard'!$AB$8</f>
        <v>4.4999999999999999E-4</v>
      </c>
      <c r="G46">
        <v>44</v>
      </c>
      <c r="H46" s="64">
        <f t="shared" ca="1" si="3"/>
        <v>44244.855161287123</v>
      </c>
      <c r="I46" s="63">
        <f t="shared" ca="1" si="0"/>
        <v>1.1883944885705695E-2</v>
      </c>
      <c r="J46" s="67" cm="1">
        <f t="array" aca="1" ref="J46" ca="1">100*OptionPrice('Trading Dashboard'!$K$7,'Trading Dashboard'!$AB$7,'Trading Dashboard'!$K$8,'Trading Dashboard'!$AB$8,'Trading Dashboard'!$AB$10,'Trading Dashboard'!$AB$9,H46,'Trading Dashboard'!$AB$11)</f>
        <v>43.519285945435335</v>
      </c>
      <c r="K46" s="69">
        <f t="shared" ca="1" si="1"/>
        <v>2.7008966233869801E-2</v>
      </c>
    </row>
    <row r="47" spans="2:11" x14ac:dyDescent="0.3">
      <c r="B47">
        <v>45</v>
      </c>
      <c r="C47" s="62">
        <f t="shared" si="2"/>
        <v>6.0749999999999964E-4</v>
      </c>
      <c r="D47" s="65" cm="1">
        <f t="array" ref="D47">100*OptionPrice('Trading Dashboard'!$K$7,'Trading Dashboard'!$AB$7,'Trading Dashboard'!$K$8,C47,'Trading Dashboard'!$AB$10,'Trading Dashboard'!$AB$9,'Trading Dashboard'!$K$9,'Trading Dashboard'!$AB$11)</f>
        <v>49.129702834005485</v>
      </c>
      <c r="E47" s="62">
        <f>'Trading Dashboard'!$AB$8</f>
        <v>4.4999999999999999E-4</v>
      </c>
      <c r="G47">
        <v>45</v>
      </c>
      <c r="H47" s="64">
        <f t="shared" ca="1" si="3"/>
        <v>44244.92322388319</v>
      </c>
      <c r="I47" s="63">
        <f t="shared" ca="1" si="0"/>
        <v>1.2154034552637197E-2</v>
      </c>
      <c r="J47" s="67" cm="1">
        <f t="array" aca="1" ref="J47" ca="1">100*OptionPrice('Trading Dashboard'!$K$7,'Trading Dashboard'!$AB$7,'Trading Dashboard'!$K$8,'Trading Dashboard'!$AB$8,'Trading Dashboard'!$AB$10,'Trading Dashboard'!$AB$9,H47,'Trading Dashboard'!$AB$11)</f>
        <v>43.654921198744916</v>
      </c>
      <c r="K47" s="69">
        <f t="shared" ca="1" si="1"/>
        <v>2.7008966233869801E-2</v>
      </c>
    </row>
    <row r="48" spans="2:11" x14ac:dyDescent="0.3">
      <c r="B48">
        <v>46</v>
      </c>
      <c r="C48" s="62">
        <f t="shared" si="2"/>
        <v>6.2099999999999959E-4</v>
      </c>
      <c r="D48" s="65" cm="1">
        <f t="array" ref="D48">100*OptionPrice('Trading Dashboard'!$K$7,'Trading Dashboard'!$AB$7,'Trading Dashboard'!$K$8,C48,'Trading Dashboard'!$AB$10,'Trading Dashboard'!$AB$9,'Trading Dashboard'!$K$9,'Trading Dashboard'!$AB$11)</f>
        <v>49.130005875365725</v>
      </c>
      <c r="E48" s="62">
        <f>'Trading Dashboard'!$AB$8</f>
        <v>4.4999999999999999E-4</v>
      </c>
      <c r="G48">
        <v>46</v>
      </c>
      <c r="H48" s="64">
        <f t="shared" ca="1" si="3"/>
        <v>44244.991286479257</v>
      </c>
      <c r="I48" s="63">
        <f t="shared" ca="1" si="0"/>
        <v>1.24241242195687E-2</v>
      </c>
      <c r="J48" s="67" cm="1">
        <f t="array" aca="1" ref="J48" ca="1">100*OptionPrice('Trading Dashboard'!$K$7,'Trading Dashboard'!$AB$7,'Trading Dashboard'!$K$8,'Trading Dashboard'!$AB$8,'Trading Dashboard'!$AB$10,'Trading Dashboard'!$AB$9,H48,'Trading Dashboard'!$AB$11)</f>
        <v>43.789823322946006</v>
      </c>
      <c r="K48" s="69">
        <f t="shared" ca="1" si="1"/>
        <v>2.7008966233869801E-2</v>
      </c>
    </row>
    <row r="49" spans="2:11" x14ac:dyDescent="0.3">
      <c r="B49">
        <v>47</v>
      </c>
      <c r="C49" s="62">
        <f t="shared" si="2"/>
        <v>6.3449999999999954E-4</v>
      </c>
      <c r="D49" s="65" cm="1">
        <f t="array" ref="D49">100*OptionPrice('Trading Dashboard'!$K$7,'Trading Dashboard'!$AB$7,'Trading Dashboard'!$K$8,C49,'Trading Dashboard'!$AB$10,'Trading Dashboard'!$AB$9,'Trading Dashboard'!$K$9,'Trading Dashboard'!$AB$11)</f>
        <v>49.130308917640228</v>
      </c>
      <c r="E49" s="62">
        <f>'Trading Dashboard'!$AB$8</f>
        <v>4.4999999999999999E-4</v>
      </c>
      <c r="G49">
        <v>47</v>
      </c>
      <c r="H49" s="64">
        <f t="shared" ca="1" si="3"/>
        <v>44245.059349075324</v>
      </c>
      <c r="I49" s="63">
        <f t="shared" ca="1" si="0"/>
        <v>1.2694213886500201E-2</v>
      </c>
      <c r="J49" s="67" cm="1">
        <f t="array" aca="1" ref="J49" ca="1">100*OptionPrice('Trading Dashboard'!$K$7,'Trading Dashboard'!$AB$7,'Trading Dashboard'!$K$8,'Trading Dashboard'!$AB$8,'Trading Dashboard'!$AB$10,'Trading Dashboard'!$AB$9,H49,'Trading Dashboard'!$AB$11)</f>
        <v>43.923997133343619</v>
      </c>
      <c r="K49" s="69">
        <f t="shared" ca="1" si="1"/>
        <v>2.7008966233869801E-2</v>
      </c>
    </row>
    <row r="50" spans="2:11" x14ac:dyDescent="0.3">
      <c r="B50">
        <v>48</v>
      </c>
      <c r="C50" s="62">
        <f t="shared" si="2"/>
        <v>6.4799999999999949E-4</v>
      </c>
      <c r="D50" s="65" cm="1">
        <f t="array" ref="D50">100*OptionPrice('Trading Dashboard'!$K$7,'Trading Dashboard'!$AB$7,'Trading Dashboard'!$K$8,C50,'Trading Dashboard'!$AB$10,'Trading Dashboard'!$AB$9,'Trading Dashboard'!$K$9,'Trading Dashboard'!$AB$11)</f>
        <v>49.130611960831324</v>
      </c>
      <c r="E50" s="62">
        <f>'Trading Dashboard'!$AB$8</f>
        <v>4.4999999999999999E-4</v>
      </c>
      <c r="G50">
        <v>48</v>
      </c>
      <c r="H50" s="64">
        <f t="shared" ca="1" si="3"/>
        <v>44245.12741167139</v>
      </c>
      <c r="I50" s="63">
        <f t="shared" ca="1" si="0"/>
        <v>1.2964303553431703E-2</v>
      </c>
      <c r="J50" s="67" cm="1">
        <f t="array" aca="1" ref="J50" ca="1">100*OptionPrice('Trading Dashboard'!$K$7,'Trading Dashboard'!$AB$7,'Trading Dashboard'!$K$8,'Trading Dashboard'!$AB$8,'Trading Dashboard'!$AB$10,'Trading Dashboard'!$AB$9,H50,'Trading Dashboard'!$AB$11)</f>
        <v>44.057447770567073</v>
      </c>
      <c r="K50" s="69">
        <f t="shared" ca="1" si="1"/>
        <v>2.7008966233869801E-2</v>
      </c>
    </row>
    <row r="51" spans="2:11" x14ac:dyDescent="0.3">
      <c r="B51">
        <v>49</v>
      </c>
      <c r="C51" s="62">
        <f t="shared" si="2"/>
        <v>6.6149999999999944E-4</v>
      </c>
      <c r="D51" s="65" cm="1">
        <f t="array" ref="D51">100*OptionPrice('Trading Dashboard'!$K$7,'Trading Dashboard'!$AB$7,'Trading Dashboard'!$K$8,C51,'Trading Dashboard'!$AB$10,'Trading Dashboard'!$AB$9,'Trading Dashboard'!$K$9,'Trading Dashboard'!$AB$11)</f>
        <v>49.130915004938018</v>
      </c>
      <c r="E51" s="62">
        <f>'Trading Dashboard'!$AB$8</f>
        <v>4.4999999999999999E-4</v>
      </c>
      <c r="G51">
        <v>49</v>
      </c>
      <c r="H51" s="64">
        <f t="shared" ca="1" si="3"/>
        <v>44245.195474267457</v>
      </c>
      <c r="I51" s="63">
        <f t="shared" ca="1" si="0"/>
        <v>1.3234393220363206E-2</v>
      </c>
      <c r="J51" s="67" cm="1">
        <f t="array" aca="1" ref="J51" ca="1">100*OptionPrice('Trading Dashboard'!$K$7,'Trading Dashboard'!$AB$7,'Trading Dashboard'!$K$8,'Trading Dashboard'!$AB$8,'Trading Dashboard'!$AB$10,'Trading Dashboard'!$AB$9,H51,'Trading Dashboard'!$AB$11)</f>
        <v>44.190180654534224</v>
      </c>
      <c r="K51" s="69">
        <f t="shared" ca="1" si="1"/>
        <v>2.7008966233869801E-2</v>
      </c>
    </row>
    <row r="52" spans="2:11" x14ac:dyDescent="0.3">
      <c r="B52">
        <v>50</v>
      </c>
      <c r="C52" s="62">
        <f t="shared" si="2"/>
        <v>6.7499999999999939E-4</v>
      </c>
      <c r="D52" s="65" cm="1">
        <f t="array" ref="D52">100*OptionPrice('Trading Dashboard'!$K$7,'Trading Dashboard'!$AB$7,'Trading Dashboard'!$K$8,C52,'Trading Dashboard'!$AB$10,'Trading Dashboard'!$AB$9,'Trading Dashboard'!$K$9,'Trading Dashboard'!$AB$11)</f>
        <v>49.131218049960161</v>
      </c>
      <c r="E52" s="62">
        <f>'Trading Dashboard'!$AB$8</f>
        <v>4.4999999999999999E-4</v>
      </c>
      <c r="G52">
        <v>50</v>
      </c>
      <c r="H52" s="64">
        <f t="shared" ca="1" si="3"/>
        <v>44245.263536863524</v>
      </c>
      <c r="I52" s="63">
        <f t="shared" ca="1" si="0"/>
        <v>1.3504482887294706E-2</v>
      </c>
      <c r="J52" s="67" cm="1">
        <f t="array" aca="1" ref="J52" ca="1">100*OptionPrice('Trading Dashboard'!$K$7,'Trading Dashboard'!$AB$7,'Trading Dashboard'!$K$8,'Trading Dashboard'!$AB$8,'Trading Dashboard'!$AB$10,'Trading Dashboard'!$AB$9,H52,'Trading Dashboard'!$AB$11)</f>
        <v>44.322201443542461</v>
      </c>
      <c r="K52" s="69">
        <f t="shared" ca="1" si="1"/>
        <v>2.7008966233869801E-2</v>
      </c>
    </row>
    <row r="53" spans="2:11" x14ac:dyDescent="0.3">
      <c r="B53">
        <v>51</v>
      </c>
      <c r="C53" s="62">
        <f t="shared" si="2"/>
        <v>6.8849999999999933E-4</v>
      </c>
      <c r="D53" s="65" cm="1">
        <f t="array" ref="D53">100*OptionPrice('Trading Dashboard'!$K$7,'Trading Dashboard'!$AB$7,'Trading Dashboard'!$K$8,C53,'Trading Dashboard'!$AB$10,'Trading Dashboard'!$AB$9,'Trading Dashboard'!$K$9,'Trading Dashboard'!$AB$11)</f>
        <v>49.13152109589641</v>
      </c>
      <c r="E53" s="62">
        <f>'Trading Dashboard'!$AB$8</f>
        <v>4.4999999999999999E-4</v>
      </c>
      <c r="G53">
        <v>51</v>
      </c>
      <c r="H53" s="64">
        <f t="shared" ca="1" si="3"/>
        <v>44245.331599459591</v>
      </c>
      <c r="I53" s="63">
        <f t="shared" ca="1" si="0"/>
        <v>1.3774572554226209E-2</v>
      </c>
      <c r="J53" s="67" cm="1">
        <f t="array" aca="1" ref="J53" ca="1">100*OptionPrice('Trading Dashboard'!$K$7,'Trading Dashboard'!$AB$7,'Trading Dashboard'!$K$8,'Trading Dashboard'!$AB$8,'Trading Dashboard'!$AB$10,'Trading Dashboard'!$AB$9,H53,'Trading Dashboard'!$AB$11)</f>
        <v>44.453515997903587</v>
      </c>
      <c r="K53" s="69">
        <f t="shared" ca="1" si="1"/>
        <v>2.7008966233869801E-2</v>
      </c>
    </row>
    <row r="54" spans="2:11" x14ac:dyDescent="0.3">
      <c r="B54">
        <v>52</v>
      </c>
      <c r="C54" s="62">
        <f t="shared" si="2"/>
        <v>7.0199999999999928E-4</v>
      </c>
      <c r="D54" s="65" cm="1">
        <f t="array" ref="D54">100*OptionPrice('Trading Dashboard'!$K$7,'Trading Dashboard'!$AB$7,'Trading Dashboard'!$K$8,C54,'Trading Dashboard'!$AB$10,'Trading Dashboard'!$AB$9,'Trading Dashboard'!$K$9,'Trading Dashboard'!$AB$11)</f>
        <v>49.131824142749451</v>
      </c>
      <c r="E54" s="62">
        <f>'Trading Dashboard'!$AB$8</f>
        <v>4.4999999999999999E-4</v>
      </c>
      <c r="G54">
        <v>52</v>
      </c>
      <c r="H54" s="64">
        <f t="shared" ca="1" si="3"/>
        <v>44245.399662055657</v>
      </c>
      <c r="I54" s="63">
        <f t="shared" ca="1" si="0"/>
        <v>1.4044662221157711E-2</v>
      </c>
      <c r="J54" s="67" cm="1">
        <f t="array" aca="1" ref="J54" ca="1">100*OptionPrice('Trading Dashboard'!$K$7,'Trading Dashboard'!$AB$7,'Trading Dashboard'!$K$8,'Trading Dashboard'!$AB$8,'Trading Dashboard'!$AB$10,'Trading Dashboard'!$AB$9,H54,'Trading Dashboard'!$AB$11)</f>
        <v>44.584130347606212</v>
      </c>
      <c r="K54" s="69">
        <f t="shared" ca="1" si="1"/>
        <v>2.7008966233869801E-2</v>
      </c>
    </row>
    <row r="55" spans="2:11" x14ac:dyDescent="0.3">
      <c r="B55">
        <v>53</v>
      </c>
      <c r="C55" s="62">
        <f t="shared" si="2"/>
        <v>7.1549999999999923E-4</v>
      </c>
      <c r="D55" s="65" cm="1">
        <f t="array" ref="D55">100*OptionPrice('Trading Dashboard'!$K$7,'Trading Dashboard'!$AB$7,'Trading Dashboard'!$K$8,C55,'Trading Dashboard'!$AB$10,'Trading Dashboard'!$AB$9,'Trading Dashboard'!$K$9,'Trading Dashboard'!$AB$11)</f>
        <v>49.132127190517814</v>
      </c>
      <c r="E55" s="62">
        <f>'Trading Dashboard'!$AB$8</f>
        <v>4.4999999999999999E-4</v>
      </c>
      <c r="G55">
        <v>53</v>
      </c>
      <c r="H55" s="64">
        <f t="shared" ca="1" si="3"/>
        <v>44245.467724651724</v>
      </c>
      <c r="I55" s="63">
        <f t="shared" ca="1" si="0"/>
        <v>1.4314751888089212E-2</v>
      </c>
      <c r="J55" s="67" cm="1">
        <f t="array" aca="1" ref="J55" ca="1">100*OptionPrice('Trading Dashboard'!$K$7,'Trading Dashboard'!$AB$7,'Trading Dashboard'!$K$8,'Trading Dashboard'!$AB$8,'Trading Dashboard'!$AB$10,'Trading Dashboard'!$AB$9,H55,'Trading Dashboard'!$AB$11)</f>
        <v>44.714050663551127</v>
      </c>
      <c r="K55" s="69">
        <f t="shared" ca="1" si="1"/>
        <v>2.7008966233869801E-2</v>
      </c>
    </row>
    <row r="56" spans="2:11" x14ac:dyDescent="0.3">
      <c r="B56">
        <v>54</v>
      </c>
      <c r="C56" s="62">
        <f t="shared" si="2"/>
        <v>7.2899999999999918E-4</v>
      </c>
      <c r="D56" s="65" cm="1">
        <f t="array" ref="D56">100*OptionPrice('Trading Dashboard'!$K$7,'Trading Dashboard'!$AB$7,'Trading Dashboard'!$K$8,C56,'Trading Dashboard'!$AB$10,'Trading Dashboard'!$AB$9,'Trading Dashboard'!$K$9,'Trading Dashboard'!$AB$11)</f>
        <v>49.132430239201938</v>
      </c>
      <c r="E56" s="62">
        <f>'Trading Dashboard'!$AB$8</f>
        <v>4.4999999999999999E-4</v>
      </c>
      <c r="G56">
        <v>54</v>
      </c>
      <c r="H56" s="64">
        <f t="shared" ca="1" si="3"/>
        <v>44245.535787247791</v>
      </c>
      <c r="I56" s="63">
        <f t="shared" ca="1" si="0"/>
        <v>1.4584841555020715E-2</v>
      </c>
      <c r="J56" s="67" cm="1">
        <f t="array" aca="1" ref="J56" ca="1">100*OptionPrice('Trading Dashboard'!$K$7,'Trading Dashboard'!$AB$7,'Trading Dashboard'!$K$8,'Trading Dashboard'!$AB$8,'Trading Dashboard'!$AB$10,'Trading Dashboard'!$AB$9,H56,'Trading Dashboard'!$AB$11)</f>
        <v>44.843283231966574</v>
      </c>
      <c r="K56" s="69">
        <f t="shared" ca="1" si="1"/>
        <v>2.7008966233869801E-2</v>
      </c>
    </row>
    <row r="57" spans="2:11" x14ac:dyDescent="0.3">
      <c r="B57">
        <v>55</v>
      </c>
      <c r="C57" s="62">
        <f t="shared" si="2"/>
        <v>7.4249999999999913E-4</v>
      </c>
      <c r="D57" s="65" cm="1">
        <f t="array" ref="D57">100*OptionPrice('Trading Dashboard'!$K$7,'Trading Dashboard'!$AB$7,'Trading Dashboard'!$K$8,C57,'Trading Dashboard'!$AB$10,'Trading Dashboard'!$AB$9,'Trading Dashboard'!$K$9,'Trading Dashboard'!$AB$11)</f>
        <v>49.132733288799891</v>
      </c>
      <c r="E57" s="62">
        <f>'Trading Dashboard'!$AB$8</f>
        <v>4.4999999999999999E-4</v>
      </c>
      <c r="G57">
        <v>55</v>
      </c>
      <c r="H57" s="64">
        <f t="shared" ca="1" si="3"/>
        <v>44245.603849843857</v>
      </c>
      <c r="I57" s="63">
        <f t="shared" ca="1" si="0"/>
        <v>1.4854931221952217E-2</v>
      </c>
      <c r="J57" s="67" cm="1">
        <f t="array" aca="1" ref="J57" ca="1">100*OptionPrice('Trading Dashboard'!$K$7,'Trading Dashboard'!$AB$7,'Trading Dashboard'!$K$8,'Trading Dashboard'!$AB$8,'Trading Dashboard'!$AB$10,'Trading Dashboard'!$AB$9,H57,'Trading Dashboard'!$AB$11)</f>
        <v>44.971834431646421</v>
      </c>
      <c r="K57" s="69">
        <f t="shared" ca="1" si="1"/>
        <v>2.7008966233869801E-2</v>
      </c>
    </row>
    <row r="58" spans="2:11" x14ac:dyDescent="0.3">
      <c r="B58">
        <v>56</v>
      </c>
      <c r="C58" s="62">
        <f t="shared" si="2"/>
        <v>7.5599999999999908E-4</v>
      </c>
      <c r="D58" s="65" cm="1">
        <f t="array" ref="D58">100*OptionPrice('Trading Dashboard'!$K$7,'Trading Dashboard'!$AB$7,'Trading Dashboard'!$K$8,C58,'Trading Dashboard'!$AB$10,'Trading Dashboard'!$AB$9,'Trading Dashboard'!$K$9,'Trading Dashboard'!$AB$11)</f>
        <v>49.133036339314721</v>
      </c>
      <c r="E58" s="62">
        <f>'Trading Dashboard'!$AB$8</f>
        <v>4.4999999999999999E-4</v>
      </c>
      <c r="G58">
        <v>56</v>
      </c>
      <c r="H58" s="64">
        <f t="shared" ca="1" si="3"/>
        <v>44245.671912439924</v>
      </c>
      <c r="I58" s="63">
        <f t="shared" ca="1" si="0"/>
        <v>1.5125020888883718E-2</v>
      </c>
      <c r="J58" s="67" cm="1">
        <f t="array" aca="1" ref="J58" ca="1">100*OptionPrice('Trading Dashboard'!$K$7,'Trading Dashboard'!$AB$7,'Trading Dashboard'!$K$8,'Trading Dashboard'!$AB$8,'Trading Dashboard'!$AB$10,'Trading Dashboard'!$AB$9,H58,'Trading Dashboard'!$AB$11)</f>
        <v>45.099710713708042</v>
      </c>
      <c r="K58" s="69">
        <f t="shared" ca="1" si="1"/>
        <v>2.7008966233869801E-2</v>
      </c>
    </row>
    <row r="59" spans="2:11" x14ac:dyDescent="0.3">
      <c r="B59">
        <v>57</v>
      </c>
      <c r="C59" s="62">
        <f t="shared" si="2"/>
        <v>7.6949999999999903E-4</v>
      </c>
      <c r="D59" s="65" cm="1">
        <f t="array" ref="D59">100*OptionPrice('Trading Dashboard'!$K$7,'Trading Dashboard'!$AB$7,'Trading Dashboard'!$K$8,C59,'Trading Dashboard'!$AB$10,'Trading Dashboard'!$AB$9,'Trading Dashboard'!$K$9,'Trading Dashboard'!$AB$11)</f>
        <v>49.133339390744915</v>
      </c>
      <c r="E59" s="62">
        <f>'Trading Dashboard'!$AB$8</f>
        <v>4.4999999999999999E-4</v>
      </c>
      <c r="G59">
        <v>57</v>
      </c>
      <c r="H59" s="64">
        <f t="shared" ca="1" si="3"/>
        <v>44245.739975035991</v>
      </c>
      <c r="I59" s="63">
        <f t="shared" ca="1" si="0"/>
        <v>1.539511055581522E-2</v>
      </c>
      <c r="J59" s="67" cm="1">
        <f t="array" aca="1" ref="J59" ca="1">100*OptionPrice('Trading Dashboard'!$K$7,'Trading Dashboard'!$AB$7,'Trading Dashboard'!$K$8,'Trading Dashboard'!$AB$8,'Trading Dashboard'!$AB$10,'Trading Dashboard'!$AB$9,H59,'Trading Dashboard'!$AB$11)</f>
        <v>45.226918583591029</v>
      </c>
      <c r="K59" s="69">
        <f t="shared" ca="1" si="1"/>
        <v>2.7008966233869801E-2</v>
      </c>
    </row>
    <row r="60" spans="2:11" x14ac:dyDescent="0.3">
      <c r="B60">
        <v>58</v>
      </c>
      <c r="C60" s="62">
        <f t="shared" si="2"/>
        <v>7.8299999999999897E-4</v>
      </c>
      <c r="D60" s="65" cm="1">
        <f t="array" ref="D60">100*OptionPrice('Trading Dashboard'!$K$7,'Trading Dashboard'!$AB$7,'Trading Dashboard'!$K$8,C60,'Trading Dashboard'!$AB$10,'Trading Dashboard'!$AB$9,'Trading Dashboard'!$K$9,'Trading Dashboard'!$AB$11)</f>
        <v>49.133642443090601</v>
      </c>
      <c r="E60" s="62">
        <f>'Trading Dashboard'!$AB$8</f>
        <v>4.4999999999999999E-4</v>
      </c>
      <c r="G60">
        <v>58</v>
      </c>
      <c r="H60" s="64">
        <f t="shared" ca="1" si="3"/>
        <v>44245.808037632058</v>
      </c>
      <c r="I60" s="63">
        <f t="shared" ca="1" si="0"/>
        <v>1.5665200222746721E-2</v>
      </c>
      <c r="J60" s="67" cm="1">
        <f t="array" aca="1" ref="J60" ca="1">100*OptionPrice('Trading Dashboard'!$K$7,'Trading Dashboard'!$AB$7,'Trading Dashboard'!$K$8,'Trading Dashboard'!$AB$8,'Trading Dashboard'!$AB$10,'Trading Dashboard'!$AB$9,H60,'Trading Dashboard'!$AB$11)</f>
        <v>45.353464585057715</v>
      </c>
      <c r="K60" s="69">
        <f t="shared" ca="1" si="1"/>
        <v>2.7008966233869801E-2</v>
      </c>
    </row>
    <row r="61" spans="2:11" x14ac:dyDescent="0.3">
      <c r="B61">
        <v>59</v>
      </c>
      <c r="C61" s="62">
        <f t="shared" si="2"/>
        <v>7.9649999999999892E-4</v>
      </c>
      <c r="D61" s="65" cm="1">
        <f t="array" ref="D61">100*OptionPrice('Trading Dashboard'!$K$7,'Trading Dashboard'!$AB$7,'Trading Dashboard'!$K$8,C61,'Trading Dashboard'!$AB$10,'Trading Dashboard'!$AB$9,'Trading Dashboard'!$K$9,'Trading Dashboard'!$AB$11)</f>
        <v>49.133945496350577</v>
      </c>
      <c r="E61" s="62">
        <f>'Trading Dashboard'!$AB$8</f>
        <v>4.4999999999999999E-4</v>
      </c>
      <c r="G61">
        <v>59</v>
      </c>
      <c r="H61" s="64">
        <f t="shared" ca="1" si="3"/>
        <v>44245.876100228124</v>
      </c>
      <c r="I61" s="63">
        <f t="shared" ca="1" si="0"/>
        <v>1.5935289889678225E-2</v>
      </c>
      <c r="J61" s="67" cm="1">
        <f t="array" aca="1" ref="J61" ca="1">100*OptionPrice('Trading Dashboard'!$K$7,'Trading Dashboard'!$AB$7,'Trading Dashboard'!$K$8,'Trading Dashboard'!$AB$8,'Trading Dashboard'!$AB$10,'Trading Dashboard'!$AB$9,H61,'Trading Dashboard'!$AB$11)</f>
        <v>45.47935528598034</v>
      </c>
      <c r="K61" s="69">
        <f t="shared" ca="1" si="1"/>
        <v>2.7008966233869801E-2</v>
      </c>
    </row>
    <row r="62" spans="2:11" x14ac:dyDescent="0.3">
      <c r="B62">
        <v>60</v>
      </c>
      <c r="C62" s="62">
        <f t="shared" si="2"/>
        <v>8.0999999999999887E-4</v>
      </c>
      <c r="D62" s="65" cm="1">
        <f t="array" ref="D62">100*OptionPrice('Trading Dashboard'!$K$7,'Trading Dashboard'!$AB$7,'Trading Dashboard'!$K$8,C62,'Trading Dashboard'!$AB$10,'Trading Dashboard'!$AB$9,'Trading Dashboard'!$K$9,'Trading Dashboard'!$AB$11)</f>
        <v>49.134248550526969</v>
      </c>
      <c r="E62" s="62">
        <f>'Trading Dashboard'!$AB$8</f>
        <v>4.4999999999999999E-4</v>
      </c>
      <c r="G62">
        <v>60</v>
      </c>
      <c r="H62" s="64">
        <f t="shared" ca="1" si="3"/>
        <v>44245.944162824191</v>
      </c>
      <c r="I62" s="63">
        <f t="shared" ca="1" si="0"/>
        <v>1.6205379556609726E-2</v>
      </c>
      <c r="J62" s="67" cm="1">
        <f t="array" aca="1" ref="J62" ca="1">100*OptionPrice('Trading Dashboard'!$K$7,'Trading Dashboard'!$AB$7,'Trading Dashboard'!$K$8,'Trading Dashboard'!$AB$8,'Trading Dashboard'!$AB$10,'Trading Dashboard'!$AB$9,H62,'Trading Dashboard'!$AB$11)</f>
        <v>45.604597265724564</v>
      </c>
      <c r="K62" s="69">
        <f t="shared" ca="1" si="1"/>
        <v>2.7008966233869801E-2</v>
      </c>
    </row>
    <row r="63" spans="2:11" x14ac:dyDescent="0.3">
      <c r="B63">
        <v>61</v>
      </c>
      <c r="C63" s="62">
        <f t="shared" si="2"/>
        <v>8.2349999999999882E-4</v>
      </c>
      <c r="D63" s="65" cm="1">
        <f t="array" ref="D63">100*OptionPrice('Trading Dashboard'!$K$7,'Trading Dashboard'!$AB$7,'Trading Dashboard'!$K$8,C63,'Trading Dashboard'!$AB$10,'Trading Dashboard'!$AB$9,'Trading Dashboard'!$K$9,'Trading Dashboard'!$AB$11)</f>
        <v>49.134551605618995</v>
      </c>
      <c r="E63" s="62">
        <f>'Trading Dashboard'!$AB$8</f>
        <v>4.4999999999999999E-4</v>
      </c>
      <c r="G63">
        <v>61</v>
      </c>
      <c r="H63" s="64">
        <f t="shared" ca="1" si="3"/>
        <v>44246.012225420258</v>
      </c>
      <c r="I63" s="63">
        <f t="shared" ca="1" si="0"/>
        <v>1.6475469223541227E-2</v>
      </c>
      <c r="J63" s="67" cm="1">
        <f t="array" aca="1" ref="J63" ca="1">100*OptionPrice('Trading Dashboard'!$K$7,'Trading Dashboard'!$AB$7,'Trading Dashboard'!$K$8,'Trading Dashboard'!$AB$8,'Trading Dashboard'!$AB$10,'Trading Dashboard'!$AB$9,H63,'Trading Dashboard'!$AB$11)</f>
        <v>45.729197103958874</v>
      </c>
      <c r="K63" s="69">
        <f t="shared" ca="1" si="1"/>
        <v>2.7008966233869801E-2</v>
      </c>
    </row>
    <row r="64" spans="2:11" x14ac:dyDescent="0.3">
      <c r="B64">
        <v>62</v>
      </c>
      <c r="C64" s="62">
        <f t="shared" si="2"/>
        <v>8.3699999999999877E-4</v>
      </c>
      <c r="D64" s="65" cm="1">
        <f t="array" ref="D64">100*OptionPrice('Trading Dashboard'!$K$7,'Trading Dashboard'!$AB$7,'Trading Dashboard'!$K$8,C64,'Trading Dashboard'!$AB$10,'Trading Dashboard'!$AB$9,'Trading Dashboard'!$K$9,'Trading Dashboard'!$AB$11)</f>
        <v>49.13485466162642</v>
      </c>
      <c r="E64" s="62">
        <f>'Trading Dashboard'!$AB$8</f>
        <v>4.4999999999999999E-4</v>
      </c>
      <c r="G64">
        <v>62</v>
      </c>
      <c r="H64" s="64">
        <f t="shared" ca="1" si="3"/>
        <v>44246.080288016325</v>
      </c>
      <c r="I64" s="63">
        <f t="shared" ca="1" si="0"/>
        <v>1.6745558890472731E-2</v>
      </c>
      <c r="J64" s="67" cm="1">
        <f t="array" aca="1" ref="J64" ca="1">100*OptionPrice('Trading Dashboard'!$K$7,'Trading Dashboard'!$AB$7,'Trading Dashboard'!$K$8,'Trading Dashboard'!$AB$8,'Trading Dashboard'!$AB$10,'Trading Dashboard'!$AB$9,H64,'Trading Dashboard'!$AB$11)</f>
        <v>45.853161370742157</v>
      </c>
      <c r="K64" s="69">
        <f t="shared" ca="1" si="1"/>
        <v>2.7008966233869801E-2</v>
      </c>
    </row>
    <row r="65" spans="2:11" x14ac:dyDescent="0.3">
      <c r="B65">
        <v>63</v>
      </c>
      <c r="C65" s="62">
        <f t="shared" si="2"/>
        <v>8.5049999999999872E-4</v>
      </c>
      <c r="D65" s="65" cm="1">
        <f t="array" ref="D65">100*OptionPrice('Trading Dashboard'!$K$7,'Trading Dashboard'!$AB$7,'Trading Dashboard'!$K$8,C65,'Trading Dashboard'!$AB$10,'Trading Dashboard'!$AB$9,'Trading Dashboard'!$K$9,'Trading Dashboard'!$AB$11)</f>
        <v>49.135157718547717</v>
      </c>
      <c r="E65" s="62">
        <f>'Trading Dashboard'!$AB$8</f>
        <v>4.4999999999999999E-4</v>
      </c>
      <c r="G65">
        <v>63</v>
      </c>
      <c r="H65" s="64">
        <f t="shared" ca="1" si="3"/>
        <v>44246.148350612391</v>
      </c>
      <c r="I65" s="63">
        <f t="shared" ca="1" si="0"/>
        <v>1.7015648557404232E-2</v>
      </c>
      <c r="J65" s="67" cm="1">
        <f t="array" aca="1" ref="J65" ca="1">100*OptionPrice('Trading Dashboard'!$K$7,'Trading Dashboard'!$AB$7,'Trading Dashboard'!$K$8,'Trading Dashboard'!$AB$8,'Trading Dashboard'!$AB$10,'Trading Dashboard'!$AB$9,H65,'Trading Dashboard'!$AB$11)</f>
        <v>45.97649661775538</v>
      </c>
      <c r="K65" s="69">
        <f t="shared" ca="1" si="1"/>
        <v>2.7008966233869801E-2</v>
      </c>
    </row>
    <row r="66" spans="2:11" x14ac:dyDescent="0.3">
      <c r="B66">
        <v>64</v>
      </c>
      <c r="C66" s="62">
        <f t="shared" si="2"/>
        <v>8.6399999999999867E-4</v>
      </c>
      <c r="D66" s="65" cm="1">
        <f t="array" ref="D66">100*OptionPrice('Trading Dashboard'!$K$7,'Trading Dashboard'!$AB$7,'Trading Dashboard'!$K$8,C66,'Trading Dashboard'!$AB$10,'Trading Dashboard'!$AB$9,'Trading Dashboard'!$K$9,'Trading Dashboard'!$AB$11)</f>
        <v>49.135460776385933</v>
      </c>
      <c r="E66" s="62">
        <f>'Trading Dashboard'!$AB$8</f>
        <v>4.4999999999999999E-4</v>
      </c>
      <c r="G66">
        <v>64</v>
      </c>
      <c r="H66" s="64">
        <f t="shared" ca="1" si="3"/>
        <v>44246.216413208458</v>
      </c>
      <c r="I66" s="63">
        <f t="shared" ca="1" si="0"/>
        <v>1.7285738224335732E-2</v>
      </c>
      <c r="J66" s="67" cm="1">
        <f t="array" aca="1" ref="J66" ca="1">100*OptionPrice('Trading Dashboard'!$K$7,'Trading Dashboard'!$AB$7,'Trading Dashboard'!$K$8,'Trading Dashboard'!$AB$8,'Trading Dashboard'!$AB$10,'Trading Dashboard'!$AB$9,H66,'Trading Dashboard'!$AB$11)</f>
        <v>46.099209370554206</v>
      </c>
      <c r="K66" s="69">
        <f t="shared" ca="1" si="1"/>
        <v>2.7008966233869801E-2</v>
      </c>
    </row>
    <row r="67" spans="2:11" x14ac:dyDescent="0.3">
      <c r="B67">
        <v>65</v>
      </c>
      <c r="C67" s="62">
        <f t="shared" si="2"/>
        <v>8.7749999999999862E-4</v>
      </c>
      <c r="D67" s="65" cm="1">
        <f t="array" ref="D67">100*OptionPrice('Trading Dashboard'!$K$7,'Trading Dashboard'!$AB$7,'Trading Dashboard'!$K$8,C67,'Trading Dashboard'!$AB$10,'Trading Dashboard'!$AB$9,'Trading Dashboard'!$K$9,'Trading Dashboard'!$AB$11)</f>
        <v>49.135763835139556</v>
      </c>
      <c r="E67" s="62">
        <f>'Trading Dashboard'!$AB$8</f>
        <v>4.4999999999999999E-4</v>
      </c>
      <c r="G67">
        <v>65</v>
      </c>
      <c r="H67" s="64">
        <f t="shared" ca="1" si="3"/>
        <v>44246.284475804525</v>
      </c>
      <c r="I67" s="63">
        <f t="shared" ref="I67:I102" ca="1" si="4">(H67-NOW())/252</f>
        <v>1.7555827891267237E-2</v>
      </c>
      <c r="J67" s="67" cm="1">
        <f t="array" aca="1" ref="J67" ca="1">100*OptionPrice('Trading Dashboard'!$K$7,'Trading Dashboard'!$AB$7,'Trading Dashboard'!$K$8,'Trading Dashboard'!$AB$8,'Trading Dashboard'!$AB$10,'Trading Dashboard'!$AB$9,H67,'Trading Dashboard'!$AB$11)</f>
        <v>46.221306121742792</v>
      </c>
      <c r="K67" s="69">
        <f t="shared" ref="K67:K102" ca="1" si="5">$I$102</f>
        <v>2.7008966233869801E-2</v>
      </c>
    </row>
    <row r="68" spans="2:11" x14ac:dyDescent="0.3">
      <c r="B68">
        <v>66</v>
      </c>
      <c r="C68" s="62">
        <f t="shared" ref="C68:C101" si="6">C67+$A$8</f>
        <v>8.9099999999999856E-4</v>
      </c>
      <c r="D68" s="65" cm="1">
        <f t="array" ref="D68">100*OptionPrice('Trading Dashboard'!$K$7,'Trading Dashboard'!$AB$7,'Trading Dashboard'!$K$8,C68,'Trading Dashboard'!$AB$10,'Trading Dashboard'!$AB$9,'Trading Dashboard'!$K$9,'Trading Dashboard'!$AB$11)</f>
        <v>49.136066894808714</v>
      </c>
      <c r="E68" s="62">
        <f>'Trading Dashboard'!$AB$8</f>
        <v>4.4999999999999999E-4</v>
      </c>
      <c r="G68">
        <v>66</v>
      </c>
      <c r="H68" s="64">
        <f t="shared" ref="H68:H101" ca="1" si="7">H67+$F$8</f>
        <v>44246.352538400592</v>
      </c>
      <c r="I68" s="63">
        <f t="shared" ca="1" si="4"/>
        <v>1.7825917558198737E-2</v>
      </c>
      <c r="J68" s="67" cm="1">
        <f t="array" aca="1" ref="J68" ca="1">100*OptionPrice('Trading Dashboard'!$K$7,'Trading Dashboard'!$AB$7,'Trading Dashboard'!$K$8,'Trading Dashboard'!$AB$8,'Trading Dashboard'!$AB$10,'Trading Dashboard'!$AB$9,H68,'Trading Dashboard'!$AB$11)</f>
        <v>46.342793324968255</v>
      </c>
      <c r="K68" s="69">
        <f t="shared" ca="1" si="5"/>
        <v>2.7008966233869801E-2</v>
      </c>
    </row>
    <row r="69" spans="2:11" x14ac:dyDescent="0.3">
      <c r="B69">
        <v>67</v>
      </c>
      <c r="C69" s="62">
        <f t="shared" si="6"/>
        <v>9.0449999999999851E-4</v>
      </c>
      <c r="D69" s="65" cm="1">
        <f t="array" ref="D69">100*OptionPrice('Trading Dashboard'!$K$7,'Trading Dashboard'!$AB$7,'Trading Dashboard'!$K$8,C69,'Trading Dashboard'!$AB$10,'Trading Dashboard'!$AB$9,'Trading Dashboard'!$K$9,'Trading Dashboard'!$AB$11)</f>
        <v>49.136369955391785</v>
      </c>
      <c r="E69" s="62">
        <f>'Trading Dashboard'!$AB$8</f>
        <v>4.4999999999999999E-4</v>
      </c>
      <c r="G69">
        <v>67</v>
      </c>
      <c r="H69" s="64">
        <f t="shared" ca="1" si="7"/>
        <v>44246.420600996658</v>
      </c>
      <c r="I69" s="63">
        <f t="shared" ca="1" si="4"/>
        <v>1.8096007225130238E-2</v>
      </c>
      <c r="J69" s="67" cm="1">
        <f t="array" aca="1" ref="J69" ca="1">100*OptionPrice('Trading Dashboard'!$K$7,'Trading Dashboard'!$AB$7,'Trading Dashboard'!$K$8,'Trading Dashboard'!$AB$8,'Trading Dashboard'!$AB$10,'Trading Dashboard'!$AB$9,H69,'Trading Dashboard'!$AB$11)</f>
        <v>46.46367738965278</v>
      </c>
      <c r="K69" s="69">
        <f t="shared" ca="1" si="5"/>
        <v>2.7008966233869801E-2</v>
      </c>
    </row>
    <row r="70" spans="2:11" x14ac:dyDescent="0.3">
      <c r="B70">
        <v>68</v>
      </c>
      <c r="C70" s="62">
        <f t="shared" si="6"/>
        <v>9.1799999999999846E-4</v>
      </c>
      <c r="D70" s="65" cm="1">
        <f t="array" ref="D70">100*OptionPrice('Trading Dashboard'!$K$7,'Trading Dashboard'!$AB$7,'Trading Dashboard'!$K$8,C70,'Trading Dashboard'!$AB$10,'Trading Dashboard'!$AB$9,'Trading Dashboard'!$K$9,'Trading Dashboard'!$AB$11)</f>
        <v>49.136673016891223</v>
      </c>
      <c r="E70" s="62">
        <f>'Trading Dashboard'!$AB$8</f>
        <v>4.4999999999999999E-4</v>
      </c>
      <c r="G70">
        <v>68</v>
      </c>
      <c r="H70" s="64">
        <f t="shared" ca="1" si="7"/>
        <v>44246.488663592725</v>
      </c>
      <c r="I70" s="63">
        <f t="shared" ca="1" si="4"/>
        <v>1.8366096892061742E-2</v>
      </c>
      <c r="J70" s="67" cm="1">
        <f t="array" aca="1" ref="J70" ca="1">100*OptionPrice('Trading Dashboard'!$K$7,'Trading Dashboard'!$AB$7,'Trading Dashboard'!$K$8,'Trading Dashboard'!$AB$8,'Trading Dashboard'!$AB$10,'Trading Dashboard'!$AB$9,H70,'Trading Dashboard'!$AB$11)</f>
        <v>46.583964676389357</v>
      </c>
      <c r="K70" s="69">
        <f t="shared" ca="1" si="5"/>
        <v>2.7008966233869801E-2</v>
      </c>
    </row>
    <row r="71" spans="2:11" x14ac:dyDescent="0.3">
      <c r="B71">
        <v>69</v>
      </c>
      <c r="C71" s="62">
        <f t="shared" si="6"/>
        <v>9.3149999999999841E-4</v>
      </c>
      <c r="D71" s="65" cm="1">
        <f t="array" ref="D71">100*OptionPrice('Trading Dashboard'!$K$7,'Trading Dashboard'!$AB$7,'Trading Dashboard'!$K$8,C71,'Trading Dashboard'!$AB$10,'Trading Dashboard'!$AB$9,'Trading Dashboard'!$K$9,'Trading Dashboard'!$AB$11)</f>
        <v>49.136976079306663</v>
      </c>
      <c r="E71" s="62">
        <f>'Trading Dashboard'!$AB$8</f>
        <v>4.4999999999999999E-4</v>
      </c>
      <c r="G71">
        <v>69</v>
      </c>
      <c r="H71" s="64">
        <f t="shared" ca="1" si="7"/>
        <v>44246.556726188792</v>
      </c>
      <c r="I71" s="63">
        <f t="shared" ca="1" si="4"/>
        <v>1.8636186558993243E-2</v>
      </c>
      <c r="J71" s="67" cm="1">
        <f t="array" aca="1" ref="J71" ca="1">100*OptionPrice('Trading Dashboard'!$K$7,'Trading Dashboard'!$AB$7,'Trading Dashboard'!$K$8,'Trading Dashboard'!$AB$8,'Trading Dashboard'!$AB$10,'Trading Dashboard'!$AB$9,H71,'Trading Dashboard'!$AB$11)</f>
        <v>46.703661492930863</v>
      </c>
      <c r="K71" s="69">
        <f t="shared" ca="1" si="5"/>
        <v>2.7008966233869801E-2</v>
      </c>
    </row>
    <row r="72" spans="2:11" x14ac:dyDescent="0.3">
      <c r="B72">
        <v>70</v>
      </c>
      <c r="C72" s="62">
        <f t="shared" si="6"/>
        <v>9.4499999999999836E-4</v>
      </c>
      <c r="D72" s="65" cm="1">
        <f t="array" ref="D72">100*OptionPrice('Trading Dashboard'!$K$7,'Trading Dashboard'!$AB$7,'Trading Dashboard'!$K$8,C72,'Trading Dashboard'!$AB$10,'Trading Dashboard'!$AB$9,'Trading Dashboard'!$K$9,'Trading Dashboard'!$AB$11)</f>
        <v>49.137279142637219</v>
      </c>
      <c r="E72" s="62">
        <f>'Trading Dashboard'!$AB$8</f>
        <v>4.4999999999999999E-4</v>
      </c>
      <c r="G72">
        <v>70</v>
      </c>
      <c r="H72" s="64">
        <f t="shared" ca="1" si="7"/>
        <v>44246.624788784859</v>
      </c>
      <c r="I72" s="63">
        <f t="shared" ca="1" si="4"/>
        <v>1.8906276225924744E-2</v>
      </c>
      <c r="J72" s="67" cm="1">
        <f t="array" aca="1" ref="J72" ca="1">100*OptionPrice('Trading Dashboard'!$K$7,'Trading Dashboard'!$AB$7,'Trading Dashboard'!$K$8,'Trading Dashboard'!$AB$8,'Trading Dashboard'!$AB$10,'Trading Dashboard'!$AB$9,H72,'Trading Dashboard'!$AB$11)</f>
        <v>46.822774090711299</v>
      </c>
      <c r="K72" s="69">
        <f t="shared" ca="1" si="5"/>
        <v>2.7008966233869801E-2</v>
      </c>
    </row>
    <row r="73" spans="2:11" x14ac:dyDescent="0.3">
      <c r="B73">
        <v>71</v>
      </c>
      <c r="C73" s="62">
        <f t="shared" si="6"/>
        <v>9.5849999999999831E-4</v>
      </c>
      <c r="D73" s="65" cm="1">
        <f t="array" ref="D73">100*OptionPrice('Trading Dashboard'!$K$7,'Trading Dashboard'!$AB$7,'Trading Dashboard'!$K$8,C73,'Trading Dashboard'!$AB$10,'Trading Dashboard'!$AB$9,'Trading Dashboard'!$K$9,'Trading Dashboard'!$AB$11)</f>
        <v>49.137582206881781</v>
      </c>
      <c r="E73" s="62">
        <f>'Trading Dashboard'!$AB$8</f>
        <v>4.4999999999999999E-4</v>
      </c>
      <c r="G73">
        <v>71</v>
      </c>
      <c r="H73" s="64">
        <f t="shared" ca="1" si="7"/>
        <v>44246.692851380925</v>
      </c>
      <c r="I73" s="63">
        <f t="shared" ca="1" si="4"/>
        <v>1.9176365892856248E-2</v>
      </c>
      <c r="J73" s="67" cm="1">
        <f t="array" aca="1" ref="J73" ca="1">100*OptionPrice('Trading Dashboard'!$K$7,'Trading Dashboard'!$AB$7,'Trading Dashboard'!$K$8,'Trading Dashboard'!$AB$8,'Trading Dashboard'!$AB$10,'Trading Dashboard'!$AB$9,H73,'Trading Dashboard'!$AB$11)</f>
        <v>46.941308661847501</v>
      </c>
      <c r="K73" s="69">
        <f t="shared" ca="1" si="5"/>
        <v>2.7008966233869801E-2</v>
      </c>
    </row>
    <row r="74" spans="2:11" x14ac:dyDescent="0.3">
      <c r="B74">
        <v>72</v>
      </c>
      <c r="C74" s="62">
        <f t="shared" si="6"/>
        <v>9.7199999999999826E-4</v>
      </c>
      <c r="D74" s="65" cm="1">
        <f t="array" ref="D74">100*OptionPrice('Trading Dashboard'!$K$7,'Trading Dashboard'!$AB$7,'Trading Dashboard'!$K$8,C74,'Trading Dashboard'!$AB$10,'Trading Dashboard'!$AB$9,'Trading Dashboard'!$K$9,'Trading Dashboard'!$AB$11)</f>
        <v>49.137885272043121</v>
      </c>
      <c r="E74" s="62">
        <f>'Trading Dashboard'!$AB$8</f>
        <v>4.4999999999999999E-4</v>
      </c>
      <c r="G74">
        <v>72</v>
      </c>
      <c r="H74" s="64">
        <f t="shared" ca="1" si="7"/>
        <v>44246.760913976992</v>
      </c>
      <c r="I74" s="63">
        <f t="shared" ca="1" si="4"/>
        <v>1.9446455559787749E-2</v>
      </c>
      <c r="J74" s="67" cm="1">
        <f t="array" aca="1" ref="J74" ca="1">100*OptionPrice('Trading Dashboard'!$K$7,'Trading Dashboard'!$AB$7,'Trading Dashboard'!$K$8,'Trading Dashboard'!$AB$8,'Trading Dashboard'!$AB$10,'Trading Dashboard'!$AB$9,H74,'Trading Dashboard'!$AB$11)</f>
        <v>47.059271336568713</v>
      </c>
      <c r="K74" s="69">
        <f t="shared" ca="1" si="5"/>
        <v>2.7008966233869801E-2</v>
      </c>
    </row>
    <row r="75" spans="2:11" x14ac:dyDescent="0.3">
      <c r="B75">
        <v>73</v>
      </c>
      <c r="C75" s="62">
        <f t="shared" si="6"/>
        <v>9.8549999999999831E-4</v>
      </c>
      <c r="D75" s="65" cm="1">
        <f t="array" ref="D75">100*OptionPrice('Trading Dashboard'!$K$7,'Trading Dashboard'!$AB$7,'Trading Dashboard'!$K$8,C75,'Trading Dashboard'!$AB$10,'Trading Dashboard'!$AB$9,'Trading Dashboard'!$K$9,'Trading Dashboard'!$AB$11)</f>
        <v>49.138188338119818</v>
      </c>
      <c r="E75" s="62">
        <f>'Trading Dashboard'!$AB$8</f>
        <v>4.4999999999999999E-4</v>
      </c>
      <c r="G75">
        <v>73</v>
      </c>
      <c r="H75" s="64">
        <f t="shared" ca="1" si="7"/>
        <v>44246.828976573059</v>
      </c>
      <c r="I75" s="63">
        <f t="shared" ca="1" si="4"/>
        <v>1.971654522671925E-2</v>
      </c>
      <c r="J75" s="67" cm="1">
        <f t="array" aca="1" ref="J75" ca="1">100*OptionPrice('Trading Dashboard'!$K$7,'Trading Dashboard'!$AB$7,'Trading Dashboard'!$K$8,'Trading Dashboard'!$AB$8,'Trading Dashboard'!$AB$10,'Trading Dashboard'!$AB$9,H75,'Trading Dashboard'!$AB$11)</f>
        <v>47.17666818103298</v>
      </c>
      <c r="K75" s="69">
        <f t="shared" ca="1" si="5"/>
        <v>2.7008966233869801E-2</v>
      </c>
    </row>
    <row r="76" spans="2:11" x14ac:dyDescent="0.3">
      <c r="B76">
        <v>74</v>
      </c>
      <c r="C76" s="62">
        <f t="shared" si="6"/>
        <v>9.9899999999999837E-4</v>
      </c>
      <c r="D76" s="65" cm="1">
        <f t="array" ref="D76">100*OptionPrice('Trading Dashboard'!$K$7,'Trading Dashboard'!$AB$7,'Trading Dashboard'!$K$8,C76,'Trading Dashboard'!$AB$10,'Trading Dashboard'!$AB$9,'Trading Dashboard'!$K$9,'Trading Dashboard'!$AB$11)</f>
        <v>49.138491405112092</v>
      </c>
      <c r="E76" s="62">
        <f>'Trading Dashboard'!$AB$8</f>
        <v>4.4999999999999999E-4</v>
      </c>
      <c r="G76">
        <v>74</v>
      </c>
      <c r="H76" s="64">
        <f t="shared" ca="1" si="7"/>
        <v>44246.897039169125</v>
      </c>
      <c r="I76" s="63">
        <f t="shared" ca="1" si="4"/>
        <v>1.9986634893650754E-2</v>
      </c>
      <c r="J76" s="67" cm="1">
        <f t="array" aca="1" ref="J76" ca="1">100*OptionPrice('Trading Dashboard'!$K$7,'Trading Dashboard'!$AB$7,'Trading Dashboard'!$K$8,'Trading Dashboard'!$AB$8,'Trading Dashboard'!$AB$10,'Trading Dashboard'!$AB$9,H76,'Trading Dashboard'!$AB$11)</f>
        <v>47.2935051954898</v>
      </c>
      <c r="K76" s="69">
        <f t="shared" ca="1" si="5"/>
        <v>2.7008966233869801E-2</v>
      </c>
    </row>
    <row r="77" spans="2:11" x14ac:dyDescent="0.3">
      <c r="B77">
        <v>75</v>
      </c>
      <c r="C77" s="62">
        <f t="shared" si="6"/>
        <v>1.0124999999999984E-3</v>
      </c>
      <c r="D77" s="65" cm="1">
        <f t="array" ref="D77">100*OptionPrice('Trading Dashboard'!$K$7,'Trading Dashboard'!$AB$7,'Trading Dashboard'!$K$8,C77,'Trading Dashboard'!$AB$10,'Trading Dashboard'!$AB$9,'Trading Dashboard'!$K$9,'Trading Dashboard'!$AB$11)</f>
        <v>49.138794473018102</v>
      </c>
      <c r="E77" s="62">
        <f>'Trading Dashboard'!$AB$8</f>
        <v>4.4999999999999999E-4</v>
      </c>
      <c r="G77">
        <v>75</v>
      </c>
      <c r="H77" s="64">
        <f t="shared" ca="1" si="7"/>
        <v>44246.965101765192</v>
      </c>
      <c r="I77" s="63">
        <f t="shared" ca="1" si="4"/>
        <v>2.0256724560582254E-2</v>
      </c>
      <c r="J77" s="67" cm="1">
        <f t="array" aca="1" ref="J77" ca="1">100*OptionPrice('Trading Dashboard'!$K$7,'Trading Dashboard'!$AB$7,'Trading Dashboard'!$K$8,'Trading Dashboard'!$AB$8,'Trading Dashboard'!$AB$10,'Trading Dashboard'!$AB$9,H77,'Trading Dashboard'!$AB$11)</f>
        <v>47.409788312751324</v>
      </c>
      <c r="K77" s="69">
        <f t="shared" ca="1" si="5"/>
        <v>2.7008966233869801E-2</v>
      </c>
    </row>
    <row r="78" spans="2:11" x14ac:dyDescent="0.3">
      <c r="B78">
        <v>76</v>
      </c>
      <c r="C78" s="62">
        <f t="shared" si="6"/>
        <v>1.0259999999999985E-3</v>
      </c>
      <c r="D78" s="65" cm="1">
        <f t="array" ref="D78">100*OptionPrice('Trading Dashboard'!$K$7,'Trading Dashboard'!$AB$7,'Trading Dashboard'!$K$8,C78,'Trading Dashboard'!$AB$10,'Trading Dashboard'!$AB$9,'Trading Dashboard'!$K$9,'Trading Dashboard'!$AB$11)</f>
        <v>49.139097541840691</v>
      </c>
      <c r="E78" s="62">
        <f>'Trading Dashboard'!$AB$8</f>
        <v>4.4999999999999999E-4</v>
      </c>
      <c r="G78">
        <v>76</v>
      </c>
      <c r="H78" s="64">
        <f t="shared" ca="1" si="7"/>
        <v>44247.033164361259</v>
      </c>
      <c r="I78" s="63">
        <f t="shared" ca="1" si="4"/>
        <v>2.0526814227513755E-2</v>
      </c>
      <c r="J78" s="67" cm="1">
        <f t="array" aca="1" ref="J78" ca="1">100*OptionPrice('Trading Dashboard'!$K$7,'Trading Dashboard'!$AB$7,'Trading Dashboard'!$K$8,'Trading Dashboard'!$AB$8,'Trading Dashboard'!$AB$10,'Trading Dashboard'!$AB$9,H78,'Trading Dashboard'!$AB$11)</f>
        <v>47.525523396944571</v>
      </c>
      <c r="K78" s="69">
        <f t="shared" ca="1" si="5"/>
        <v>2.7008966233869801E-2</v>
      </c>
    </row>
    <row r="79" spans="2:11" x14ac:dyDescent="0.3">
      <c r="B79">
        <v>77</v>
      </c>
      <c r="C79" s="62">
        <f t="shared" si="6"/>
        <v>1.0394999999999985E-3</v>
      </c>
      <c r="D79" s="65" cm="1">
        <f t="array" ref="D79">100*OptionPrice('Trading Dashboard'!$K$7,'Trading Dashboard'!$AB$7,'Trading Dashboard'!$K$8,C79,'Trading Dashboard'!$AB$10,'Trading Dashboard'!$AB$9,'Trading Dashboard'!$K$9,'Trading Dashboard'!$AB$11)</f>
        <v>49.139400611578964</v>
      </c>
      <c r="E79" s="62">
        <f>'Trading Dashboard'!$AB$8</f>
        <v>4.4999999999999999E-4</v>
      </c>
      <c r="G79">
        <v>77</v>
      </c>
      <c r="H79" s="64">
        <f t="shared" ca="1" si="7"/>
        <v>44247.101226957326</v>
      </c>
      <c r="I79" s="63">
        <f t="shared" ca="1" si="4"/>
        <v>2.0796903894445259E-2</v>
      </c>
      <c r="J79" s="67" cm="1">
        <f t="array" aca="1" ref="J79" ca="1">100*OptionPrice('Trading Dashboard'!$K$7,'Trading Dashboard'!$AB$7,'Trading Dashboard'!$K$8,'Trading Dashboard'!$AB$8,'Trading Dashboard'!$AB$10,'Trading Dashboard'!$AB$9,H79,'Trading Dashboard'!$AB$11)</f>
        <v>47.640716242512667</v>
      </c>
      <c r="K79" s="69">
        <f t="shared" ca="1" si="5"/>
        <v>2.7008966233869801E-2</v>
      </c>
    </row>
    <row r="80" spans="2:11" x14ac:dyDescent="0.3">
      <c r="B80">
        <v>78</v>
      </c>
      <c r="C80" s="62">
        <f t="shared" si="6"/>
        <v>1.0529999999999986E-3</v>
      </c>
      <c r="D80" s="65" cm="1">
        <f t="array" ref="D80">100*OptionPrice('Trading Dashboard'!$K$7,'Trading Dashboard'!$AB$7,'Trading Dashboard'!$K$8,C80,'Trading Dashboard'!$AB$10,'Trading Dashboard'!$AB$9,'Trading Dashboard'!$K$9,'Trading Dashboard'!$AB$11)</f>
        <v>49.139703682232536</v>
      </c>
      <c r="E80" s="62">
        <f>'Trading Dashboard'!$AB$8</f>
        <v>4.4999999999999999E-4</v>
      </c>
      <c r="G80">
        <v>78</v>
      </c>
      <c r="H80" s="64">
        <f t="shared" ca="1" si="7"/>
        <v>44247.169289553392</v>
      </c>
      <c r="I80" s="63">
        <f t="shared" ca="1" si="4"/>
        <v>2.106699356137676E-2</v>
      </c>
      <c r="J80" s="67" cm="1">
        <f t="array" aca="1" ref="J80" ca="1">100*OptionPrice('Trading Dashboard'!$K$7,'Trading Dashboard'!$AB$7,'Trading Dashboard'!$K$8,'Trading Dashboard'!$AB$8,'Trading Dashboard'!$AB$10,'Trading Dashboard'!$AB$9,H80,'Trading Dashboard'!$AB$11)</f>
        <v>47.755372573437782</v>
      </c>
      <c r="K80" s="69">
        <f t="shared" ca="1" si="5"/>
        <v>2.7008966233869801E-2</v>
      </c>
    </row>
    <row r="81" spans="2:11" x14ac:dyDescent="0.3">
      <c r="B81">
        <v>79</v>
      </c>
      <c r="C81" s="62">
        <f t="shared" si="6"/>
        <v>1.0664999999999987E-3</v>
      </c>
      <c r="D81" s="65" cm="1">
        <f t="array" ref="D81">100*OptionPrice('Trading Dashboard'!$K$7,'Trading Dashboard'!$AB$7,'Trading Dashboard'!$K$8,C81,'Trading Dashboard'!$AB$10,'Trading Dashboard'!$AB$9,'Trading Dashboard'!$K$9,'Trading Dashboard'!$AB$11)</f>
        <v>49.140006753800151</v>
      </c>
      <c r="E81" s="62">
        <f>'Trading Dashboard'!$AB$8</f>
        <v>4.4999999999999999E-4</v>
      </c>
      <c r="G81">
        <v>79</v>
      </c>
      <c r="H81" s="64">
        <f t="shared" ca="1" si="7"/>
        <v>44247.237352149459</v>
      </c>
      <c r="I81" s="63">
        <f t="shared" ca="1" si="4"/>
        <v>2.1337083228308261E-2</v>
      </c>
      <c r="J81" s="67" cm="1">
        <f t="array" aca="1" ref="J81" ca="1">100*OptionPrice('Trading Dashboard'!$K$7,'Trading Dashboard'!$AB$7,'Trading Dashboard'!$K$8,'Trading Dashboard'!$AB$8,'Trading Dashboard'!$AB$10,'Trading Dashboard'!$AB$9,H81,'Trading Dashboard'!$AB$11)</f>
        <v>47.869498042669122</v>
      </c>
      <c r="K81" s="69">
        <f t="shared" ca="1" si="5"/>
        <v>2.7008966233869801E-2</v>
      </c>
    </row>
    <row r="82" spans="2:11" x14ac:dyDescent="0.3">
      <c r="B82">
        <v>80</v>
      </c>
      <c r="C82" s="62">
        <f t="shared" si="6"/>
        <v>1.0799999999999987E-3</v>
      </c>
      <c r="D82" s="65" cm="1">
        <f t="array" ref="D82">100*OptionPrice('Trading Dashboard'!$K$7,'Trading Dashboard'!$AB$7,'Trading Dashboard'!$K$8,C82,'Trading Dashboard'!$AB$10,'Trading Dashboard'!$AB$9,'Trading Dashboard'!$K$9,'Trading Dashboard'!$AB$11)</f>
        <v>49.140309826284316</v>
      </c>
      <c r="E82" s="62">
        <f>'Trading Dashboard'!$AB$8</f>
        <v>4.4999999999999999E-4</v>
      </c>
      <c r="G82">
        <v>80</v>
      </c>
      <c r="H82" s="64">
        <f t="shared" ca="1" si="7"/>
        <v>44247.305414745526</v>
      </c>
      <c r="I82" s="63">
        <f t="shared" ca="1" si="4"/>
        <v>2.1607172895239765E-2</v>
      </c>
      <c r="J82" s="67" cm="1">
        <f t="array" aca="1" ref="J82" ca="1">100*OptionPrice('Trading Dashboard'!$K$7,'Trading Dashboard'!$AB$7,'Trading Dashboard'!$K$8,'Trading Dashboard'!$AB$8,'Trading Dashboard'!$AB$10,'Trading Dashboard'!$AB$9,H82,'Trading Dashboard'!$AB$11)</f>
        <v>47.983098231724107</v>
      </c>
      <c r="K82" s="69">
        <f t="shared" ca="1" si="5"/>
        <v>2.7008966233869801E-2</v>
      </c>
    </row>
    <row r="83" spans="2:11" x14ac:dyDescent="0.3">
      <c r="B83">
        <v>81</v>
      </c>
      <c r="C83" s="62">
        <f t="shared" si="6"/>
        <v>1.0934999999999988E-3</v>
      </c>
      <c r="D83" s="65" cm="1">
        <f t="array" ref="D83">100*OptionPrice('Trading Dashboard'!$K$7,'Trading Dashboard'!$AB$7,'Trading Dashboard'!$K$8,C83,'Trading Dashboard'!$AB$10,'Trading Dashboard'!$AB$9,'Trading Dashboard'!$K$9,'Trading Dashboard'!$AB$11)</f>
        <v>49.14061289968388</v>
      </c>
      <c r="E83" s="62">
        <f>'Trading Dashboard'!$AB$8</f>
        <v>4.4999999999999999E-4</v>
      </c>
      <c r="G83">
        <v>81</v>
      </c>
      <c r="H83" s="64">
        <f t="shared" ca="1" si="7"/>
        <v>44247.373477341593</v>
      </c>
      <c r="I83" s="63">
        <f t="shared" ca="1" si="4"/>
        <v>2.1877262562171266E-2</v>
      </c>
      <c r="J83" s="67" cm="1">
        <f t="array" aca="1" ref="J83" ca="1">100*OptionPrice('Trading Dashboard'!$K$7,'Trading Dashboard'!$AB$7,'Trading Dashboard'!$K$8,'Trading Dashboard'!$AB$8,'Trading Dashboard'!$AB$10,'Trading Dashboard'!$AB$9,H83,'Trading Dashboard'!$AB$11)</f>
        <v>48.096178650457006</v>
      </c>
      <c r="K83" s="69">
        <f t="shared" ca="1" si="5"/>
        <v>2.7008966233869801E-2</v>
      </c>
    </row>
    <row r="84" spans="2:11" x14ac:dyDescent="0.3">
      <c r="B84">
        <v>82</v>
      </c>
      <c r="C84" s="62">
        <f t="shared" si="6"/>
        <v>1.1069999999999988E-3</v>
      </c>
      <c r="D84" s="65" cm="1">
        <f t="array" ref="D84">100*OptionPrice('Trading Dashboard'!$K$7,'Trading Dashboard'!$AB$7,'Trading Dashboard'!$K$8,C84,'Trading Dashboard'!$AB$10,'Trading Dashboard'!$AB$9,'Trading Dashboard'!$K$9,'Trading Dashboard'!$AB$11)</f>
        <v>49.14091597399878</v>
      </c>
      <c r="E84" s="62">
        <f>'Trading Dashboard'!$AB$8</f>
        <v>4.4999999999999999E-4</v>
      </c>
      <c r="G84">
        <v>82</v>
      </c>
      <c r="H84" s="64">
        <f t="shared" ca="1" si="7"/>
        <v>44247.441539937659</v>
      </c>
      <c r="I84" s="63">
        <f t="shared" ca="1" si="4"/>
        <v>2.2147352229102767E-2</v>
      </c>
      <c r="J84" s="67" cm="1">
        <f t="array" aca="1" ref="J84" ca="1">100*OptionPrice('Trading Dashboard'!$K$7,'Trading Dashboard'!$AB$7,'Trading Dashboard'!$K$8,'Trading Dashboard'!$AB$8,'Trading Dashboard'!$AB$10,'Trading Dashboard'!$AB$9,H84,'Trading Dashboard'!$AB$11)</f>
        <v>48.208744736963773</v>
      </c>
      <c r="K84" s="69">
        <f t="shared" ca="1" si="5"/>
        <v>2.7008966233869801E-2</v>
      </c>
    </row>
    <row r="85" spans="2:11" x14ac:dyDescent="0.3">
      <c r="B85">
        <v>83</v>
      </c>
      <c r="C85" s="62">
        <f t="shared" si="6"/>
        <v>1.1204999999999989E-3</v>
      </c>
      <c r="D85" s="65" cm="1">
        <f t="array" ref="D85">100*OptionPrice('Trading Dashboard'!$K$7,'Trading Dashboard'!$AB$7,'Trading Dashboard'!$K$8,C85,'Trading Dashboard'!$AB$10,'Trading Dashboard'!$AB$9,'Trading Dashboard'!$K$9,'Trading Dashboard'!$AB$11)</f>
        <v>49.141219049227871</v>
      </c>
      <c r="E85" s="62">
        <f>'Trading Dashboard'!$AB$8</f>
        <v>4.4999999999999999E-4</v>
      </c>
      <c r="G85">
        <v>83</v>
      </c>
      <c r="H85" s="64">
        <f t="shared" ca="1" si="7"/>
        <v>44247.509602533726</v>
      </c>
      <c r="I85" s="63">
        <f t="shared" ca="1" si="4"/>
        <v>2.2417441896034271E-2</v>
      </c>
      <c r="J85" s="67" cm="1">
        <f t="array" aca="1" ref="J85" ca="1">100*OptionPrice('Trading Dashboard'!$K$7,'Trading Dashboard'!$AB$7,'Trading Dashboard'!$K$8,'Trading Dashboard'!$AB$8,'Trading Dashboard'!$AB$10,'Trading Dashboard'!$AB$9,H85,'Trading Dashboard'!$AB$11)</f>
        <v>48.320801857619649</v>
      </c>
      <c r="K85" s="69">
        <f t="shared" ca="1" si="5"/>
        <v>2.7008966233869801E-2</v>
      </c>
    </row>
    <row r="86" spans="2:11" x14ac:dyDescent="0.3">
      <c r="B86">
        <v>84</v>
      </c>
      <c r="C86" s="62">
        <f t="shared" si="6"/>
        <v>1.1339999999999989E-3</v>
      </c>
      <c r="D86" s="65" cm="1">
        <f t="array" ref="D86">100*OptionPrice('Trading Dashboard'!$K$7,'Trading Dashboard'!$AB$7,'Trading Dashboard'!$K$8,C86,'Trading Dashboard'!$AB$10,'Trading Dashboard'!$AB$9,'Trading Dashboard'!$K$9,'Trading Dashboard'!$AB$11)</f>
        <v>49.141522125373328</v>
      </c>
      <c r="E86" s="62">
        <f>'Trading Dashboard'!$AB$8</f>
        <v>4.4999999999999999E-4</v>
      </c>
      <c r="G86">
        <v>84</v>
      </c>
      <c r="H86" s="64">
        <f t="shared" ca="1" si="7"/>
        <v>44247.577665129793</v>
      </c>
      <c r="I86" s="63">
        <f t="shared" ca="1" si="4"/>
        <v>2.2687531562965772E-2</v>
      </c>
      <c r="J86" s="67" cm="1">
        <f t="array" aca="1" ref="J86" ca="1">100*OptionPrice('Trading Dashboard'!$K$7,'Trading Dashboard'!$AB$7,'Trading Dashboard'!$K$8,'Trading Dashboard'!$AB$8,'Trading Dashboard'!$AB$10,'Trading Dashboard'!$AB$9,H86,'Trading Dashboard'!$AB$11)</f>
        <v>48.432355307228853</v>
      </c>
      <c r="K86" s="69">
        <f t="shared" ca="1" si="5"/>
        <v>2.7008966233869801E-2</v>
      </c>
    </row>
    <row r="87" spans="2:11" x14ac:dyDescent="0.3">
      <c r="B87">
        <v>85</v>
      </c>
      <c r="C87" s="62">
        <f t="shared" si="6"/>
        <v>1.147499999999999E-3</v>
      </c>
      <c r="D87" s="65" cm="1">
        <f t="array" ref="D87">100*OptionPrice('Trading Dashboard'!$K$7,'Trading Dashboard'!$AB$7,'Trading Dashboard'!$K$8,C87,'Trading Dashboard'!$AB$10,'Trading Dashboard'!$AB$9,'Trading Dashboard'!$K$9,'Trading Dashboard'!$AB$11)</f>
        <v>49.141825202434354</v>
      </c>
      <c r="E87" s="62">
        <f>'Trading Dashboard'!$AB$8</f>
        <v>4.4999999999999999E-4</v>
      </c>
      <c r="G87">
        <v>85</v>
      </c>
      <c r="H87" s="64">
        <f t="shared" ca="1" si="7"/>
        <v>44247.64572772586</v>
      </c>
      <c r="I87" s="63">
        <f t="shared" ca="1" si="4"/>
        <v>2.2957621229897272E-2</v>
      </c>
      <c r="J87" s="67" cm="1">
        <f t="array" aca="1" ref="J87" ca="1">100*OptionPrice('Trading Dashboard'!$K$7,'Trading Dashboard'!$AB$7,'Trading Dashboard'!$K$8,'Trading Dashboard'!$AB$8,'Trading Dashboard'!$AB$10,'Trading Dashboard'!$AB$9,H87,'Trading Dashboard'!$AB$11)</f>
        <v>48.543410309274947</v>
      </c>
      <c r="K87" s="69">
        <f t="shared" ca="1" si="5"/>
        <v>2.7008966233869801E-2</v>
      </c>
    </row>
    <row r="88" spans="2:11" x14ac:dyDescent="0.3">
      <c r="B88">
        <v>86</v>
      </c>
      <c r="C88" s="62">
        <f t="shared" si="6"/>
        <v>1.1609999999999991E-3</v>
      </c>
      <c r="D88" s="65" cm="1">
        <f t="array" ref="D88">100*OptionPrice('Trading Dashboard'!$K$7,'Trading Dashboard'!$AB$7,'Trading Dashboard'!$K$8,C88,'Trading Dashboard'!$AB$10,'Trading Dashboard'!$AB$9,'Trading Dashboard'!$K$9,'Trading Dashboard'!$AB$11)</f>
        <v>49.142128280410446</v>
      </c>
      <c r="E88" s="62">
        <f>'Trading Dashboard'!$AB$8</f>
        <v>4.4999999999999999E-4</v>
      </c>
      <c r="G88">
        <v>86</v>
      </c>
      <c r="H88" s="64">
        <f t="shared" ca="1" si="7"/>
        <v>44247.713790321926</v>
      </c>
      <c r="I88" s="63">
        <f t="shared" ca="1" si="4"/>
        <v>2.3227710896828777E-2</v>
      </c>
      <c r="J88" s="67" cm="1">
        <f t="array" aca="1" ref="J88" ca="1">100*OptionPrice('Trading Dashboard'!$K$7,'Trading Dashboard'!$AB$7,'Trading Dashboard'!$K$8,'Trading Dashboard'!$AB$8,'Trading Dashboard'!$AB$10,'Trading Dashboard'!$AB$9,H88,'Trading Dashboard'!$AB$11)</f>
        <v>48.653972016261363</v>
      </c>
      <c r="K88" s="69">
        <f t="shared" ca="1" si="5"/>
        <v>2.7008966233869801E-2</v>
      </c>
    </row>
    <row r="89" spans="2:11" x14ac:dyDescent="0.3">
      <c r="B89">
        <v>87</v>
      </c>
      <c r="C89" s="62">
        <f t="shared" si="6"/>
        <v>1.1744999999999991E-3</v>
      </c>
      <c r="D89" s="65" cm="1">
        <f t="array" ref="D89">100*OptionPrice('Trading Dashboard'!$K$7,'Trading Dashboard'!$AB$7,'Trading Dashboard'!$K$8,C89,'Trading Dashboard'!$AB$10,'Trading Dashboard'!$AB$9,'Trading Dashboard'!$K$9,'Trading Dashboard'!$AB$11)</f>
        <v>49.142431359301</v>
      </c>
      <c r="E89" s="62">
        <f>'Trading Dashboard'!$AB$8</f>
        <v>4.4999999999999999E-4</v>
      </c>
      <c r="G89">
        <v>87</v>
      </c>
      <c r="H89" s="64">
        <f t="shared" ca="1" si="7"/>
        <v>44247.781852917993</v>
      </c>
      <c r="I89" s="63">
        <f t="shared" ca="1" si="4"/>
        <v>2.3497800563760277E-2</v>
      </c>
      <c r="J89" s="67" cm="1">
        <f t="array" aca="1" ref="J89" ca="1">100*OptionPrice('Trading Dashboard'!$K$7,'Trading Dashboard'!$AB$7,'Trading Dashboard'!$K$8,'Trading Dashboard'!$AB$8,'Trading Dashboard'!$AB$10,'Trading Dashboard'!$AB$9,H89,'Trading Dashboard'!$AB$11)</f>
        <v>48.764045510131446</v>
      </c>
      <c r="K89" s="69">
        <f t="shared" ca="1" si="5"/>
        <v>2.7008966233869801E-2</v>
      </c>
    </row>
    <row r="90" spans="2:11" x14ac:dyDescent="0.3">
      <c r="B90">
        <v>88</v>
      </c>
      <c r="C90" s="62">
        <f t="shared" si="6"/>
        <v>1.1879999999999992E-3</v>
      </c>
      <c r="D90" s="65" cm="1">
        <f t="array" ref="D90">100*OptionPrice('Trading Dashboard'!$K$7,'Trading Dashboard'!$AB$7,'Trading Dashboard'!$K$8,C90,'Trading Dashboard'!$AB$10,'Trading Dashboard'!$AB$9,'Trading Dashboard'!$K$9,'Trading Dashboard'!$AB$11)</f>
        <v>49.142734439107684</v>
      </c>
      <c r="E90" s="62">
        <f>'Trading Dashboard'!$AB$8</f>
        <v>4.4999999999999999E-4</v>
      </c>
      <c r="G90">
        <v>88</v>
      </c>
      <c r="H90" s="64">
        <f t="shared" ca="1" si="7"/>
        <v>44247.84991551406</v>
      </c>
      <c r="I90" s="63">
        <f t="shared" ca="1" si="4"/>
        <v>2.3767890230691778E-2</v>
      </c>
      <c r="J90" s="67" cm="1">
        <f t="array" aca="1" ref="J90" ca="1">100*OptionPrice('Trading Dashboard'!$K$7,'Trading Dashboard'!$AB$7,'Trading Dashboard'!$K$8,'Trading Dashboard'!$AB$8,'Trading Dashboard'!$AB$10,'Trading Dashboard'!$AB$9,H90,'Trading Dashboard'!$AB$11)</f>
        <v>48.873635802759289</v>
      </c>
      <c r="K90" s="69">
        <f t="shared" ca="1" si="5"/>
        <v>2.7008966233869801E-2</v>
      </c>
    </row>
    <row r="91" spans="2:11" x14ac:dyDescent="0.3">
      <c r="B91">
        <v>89</v>
      </c>
      <c r="C91" s="62">
        <f t="shared" si="6"/>
        <v>1.2014999999999992E-3</v>
      </c>
      <c r="D91" s="65" cm="1">
        <f t="array" ref="D91">100*OptionPrice('Trading Dashboard'!$K$7,'Trading Dashboard'!$AB$7,'Trading Dashboard'!$K$8,C91,'Trading Dashboard'!$AB$10,'Trading Dashboard'!$AB$9,'Trading Dashboard'!$K$9,'Trading Dashboard'!$AB$11)</f>
        <v>49.143037519830138</v>
      </c>
      <c r="E91" s="62">
        <f>'Trading Dashboard'!$AB$8</f>
        <v>4.4999999999999999E-4</v>
      </c>
      <c r="G91">
        <v>89</v>
      </c>
      <c r="H91" s="64">
        <f t="shared" ca="1" si="7"/>
        <v>44247.917978110127</v>
      </c>
      <c r="I91" s="63">
        <f t="shared" ca="1" si="4"/>
        <v>2.4037979897623282E-2</v>
      </c>
      <c r="J91" s="67" cm="1">
        <f t="array" aca="1" ref="J91" ca="1">100*OptionPrice('Trading Dashboard'!$K$7,'Trading Dashboard'!$AB$7,'Trading Dashboard'!$K$8,'Trading Dashboard'!$AB$8,'Trading Dashboard'!$AB$10,'Trading Dashboard'!$AB$9,H91,'Trading Dashboard'!$AB$11)</f>
        <v>48.982747836500771</v>
      </c>
      <c r="K91" s="69">
        <f t="shared" ca="1" si="5"/>
        <v>2.7008966233869801E-2</v>
      </c>
    </row>
    <row r="92" spans="2:11" x14ac:dyDescent="0.3">
      <c r="B92">
        <v>90</v>
      </c>
      <c r="C92" s="62">
        <f t="shared" si="6"/>
        <v>1.2149999999999993E-3</v>
      </c>
      <c r="D92" s="65" cm="1">
        <f t="array" ref="D92">100*OptionPrice('Trading Dashboard'!$K$7,'Trading Dashboard'!$AB$7,'Trading Dashboard'!$K$8,C92,'Trading Dashboard'!$AB$10,'Trading Dashboard'!$AB$9,'Trading Dashboard'!$K$9,'Trading Dashboard'!$AB$11)</f>
        <v>49.143340601467642</v>
      </c>
      <c r="E92" s="62">
        <f>'Trading Dashboard'!$AB$8</f>
        <v>4.4999999999999999E-4</v>
      </c>
      <c r="G92">
        <v>90</v>
      </c>
      <c r="H92" s="64">
        <f t="shared" ca="1" si="7"/>
        <v>44247.986040706193</v>
      </c>
      <c r="I92" s="63">
        <f t="shared" ca="1" si="4"/>
        <v>2.4308069564554783E-2</v>
      </c>
      <c r="J92" s="67" cm="1">
        <f t="array" aca="1" ref="J92" ca="1">100*OptionPrice('Trading Dashboard'!$K$7,'Trading Dashboard'!$AB$7,'Trading Dashboard'!$K$8,'Trading Dashboard'!$AB$8,'Trading Dashboard'!$AB$10,'Trading Dashboard'!$AB$9,H92,'Trading Dashboard'!$AB$11)</f>
        <v>49.091386484800005</v>
      </c>
      <c r="K92" s="69">
        <f t="shared" ca="1" si="5"/>
        <v>2.7008966233869801E-2</v>
      </c>
    </row>
    <row r="93" spans="2:11" x14ac:dyDescent="0.3">
      <c r="B93">
        <v>91</v>
      </c>
      <c r="C93" s="62">
        <f t="shared" si="6"/>
        <v>1.2284999999999993E-3</v>
      </c>
      <c r="D93" s="65" cm="1">
        <f t="array" ref="D93">100*OptionPrice('Trading Dashboard'!$K$7,'Trading Dashboard'!$AB$7,'Trading Dashboard'!$K$8,C93,'Trading Dashboard'!$AB$10,'Trading Dashboard'!$AB$9,'Trading Dashboard'!$K$9,'Trading Dashboard'!$AB$11)</f>
        <v>49.143643684019146</v>
      </c>
      <c r="E93" s="62">
        <f>'Trading Dashboard'!$AB$8</f>
        <v>4.4999999999999999E-4</v>
      </c>
      <c r="G93">
        <v>91</v>
      </c>
      <c r="H93" s="64">
        <f t="shared" ca="1" si="7"/>
        <v>44248.05410330226</v>
      </c>
      <c r="I93" s="63">
        <f t="shared" ca="1" si="4"/>
        <v>2.4578159231486284E-2</v>
      </c>
      <c r="J93" s="67" cm="1">
        <f t="array" aca="1" ref="J93" ca="1">100*OptionPrice('Trading Dashboard'!$K$7,'Trading Dashboard'!$AB$7,'Trading Dashboard'!$K$8,'Trading Dashboard'!$AB$8,'Trading Dashboard'!$AB$10,'Trading Dashboard'!$AB$9,H93,'Trading Dashboard'!$AB$11)</f>
        <v>49.199556552843525</v>
      </c>
      <c r="K93" s="69">
        <f t="shared" ca="1" si="5"/>
        <v>2.7008966233869801E-2</v>
      </c>
    </row>
    <row r="94" spans="2:11" x14ac:dyDescent="0.3">
      <c r="B94">
        <v>92</v>
      </c>
      <c r="C94" s="62">
        <f t="shared" si="6"/>
        <v>1.2419999999999994E-3</v>
      </c>
      <c r="D94" s="65" cm="1">
        <f t="array" ref="D94">100*OptionPrice('Trading Dashboard'!$K$7,'Trading Dashboard'!$AB$7,'Trading Dashboard'!$K$8,C94,'Trading Dashboard'!$AB$10,'Trading Dashboard'!$AB$9,'Trading Dashboard'!$K$9,'Trading Dashboard'!$AB$11)</f>
        <v>49.143946767487236</v>
      </c>
      <c r="E94" s="62">
        <f>'Trading Dashboard'!$AB$8</f>
        <v>4.4999999999999999E-4</v>
      </c>
      <c r="G94">
        <v>92</v>
      </c>
      <c r="H94" s="64">
        <f t="shared" ca="1" si="7"/>
        <v>44248.122165898327</v>
      </c>
      <c r="I94" s="63">
        <f t="shared" ca="1" si="4"/>
        <v>2.4848248898417788E-2</v>
      </c>
      <c r="J94" s="67" cm="1">
        <f t="array" aca="1" ref="J94" ca="1">100*OptionPrice('Trading Dashboard'!$K$7,'Trading Dashboard'!$AB$7,'Trading Dashboard'!$K$8,'Trading Dashboard'!$AB$8,'Trading Dashboard'!$AB$10,'Trading Dashboard'!$AB$9,H94,'Trading Dashboard'!$AB$11)</f>
        <v>49.307262778253374</v>
      </c>
      <c r="K94" s="69">
        <f t="shared" ca="1" si="5"/>
        <v>2.7008966233869801E-2</v>
      </c>
    </row>
    <row r="95" spans="2:11" x14ac:dyDescent="0.3">
      <c r="B95">
        <v>93</v>
      </c>
      <c r="C95" s="62">
        <f t="shared" si="6"/>
        <v>1.2554999999999995E-3</v>
      </c>
      <c r="D95" s="65" cm="1">
        <f t="array" ref="D95">100*OptionPrice('Trading Dashboard'!$K$7,'Trading Dashboard'!$AB$7,'Trading Dashboard'!$K$8,C95,'Trading Dashboard'!$AB$10,'Trading Dashboard'!$AB$9,'Trading Dashboard'!$K$9,'Trading Dashboard'!$AB$11)</f>
        <v>49.144249851870811</v>
      </c>
      <c r="E95" s="62">
        <f>'Trading Dashboard'!$AB$8</f>
        <v>4.4999999999999999E-4</v>
      </c>
      <c r="G95">
        <v>93</v>
      </c>
      <c r="H95" s="64">
        <f t="shared" ca="1" si="7"/>
        <v>44248.190228494394</v>
      </c>
      <c r="I95" s="63">
        <f t="shared" ca="1" si="4"/>
        <v>2.5118338565349289E-2</v>
      </c>
      <c r="J95" s="67" cm="1">
        <f t="array" aca="1" ref="J95" ca="1">100*OptionPrice('Trading Dashboard'!$K$7,'Trading Dashboard'!$AB$7,'Trading Dashboard'!$K$8,'Trading Dashboard'!$AB$8,'Trading Dashboard'!$AB$10,'Trading Dashboard'!$AB$9,H95,'Trading Dashboard'!$AB$11)</f>
        <v>49.414509831817682</v>
      </c>
      <c r="K95" s="69">
        <f t="shared" ca="1" si="5"/>
        <v>2.7008966233869801E-2</v>
      </c>
    </row>
    <row r="96" spans="2:11" x14ac:dyDescent="0.3">
      <c r="B96">
        <v>94</v>
      </c>
      <c r="C96" s="62">
        <f t="shared" si="6"/>
        <v>1.2689999999999995E-3</v>
      </c>
      <c r="D96" s="65" cm="1">
        <f t="array" ref="D96">100*OptionPrice('Trading Dashboard'!$K$7,'Trading Dashboard'!$AB$7,'Trading Dashboard'!$K$8,C96,'Trading Dashboard'!$AB$10,'Trading Dashboard'!$AB$9,'Trading Dashboard'!$K$9,'Trading Dashboard'!$AB$11)</f>
        <v>49.144552937169586</v>
      </c>
      <c r="E96" s="62">
        <f>'Trading Dashboard'!$AB$8</f>
        <v>4.4999999999999999E-4</v>
      </c>
      <c r="G96">
        <v>94</v>
      </c>
      <c r="H96" s="64">
        <f t="shared" ca="1" si="7"/>
        <v>44248.25829109046</v>
      </c>
      <c r="I96" s="63">
        <f t="shared" ca="1" si="4"/>
        <v>2.5388428232280789E-2</v>
      </c>
      <c r="J96" s="67" cm="1">
        <f t="array" aca="1" ref="J96" ca="1">100*OptionPrice('Trading Dashboard'!$K$7,'Trading Dashboard'!$AB$7,'Trading Dashboard'!$K$8,'Trading Dashboard'!$AB$8,'Trading Dashboard'!$AB$10,'Trading Dashboard'!$AB$9,H96,'Trading Dashboard'!$AB$11)</f>
        <v>49.52130231825226</v>
      </c>
      <c r="K96" s="69">
        <f t="shared" ca="1" si="5"/>
        <v>2.7008966233869801E-2</v>
      </c>
    </row>
    <row r="97" spans="2:11" x14ac:dyDescent="0.3">
      <c r="B97">
        <v>95</v>
      </c>
      <c r="C97" s="62">
        <f t="shared" si="6"/>
        <v>1.2824999999999996E-3</v>
      </c>
      <c r="D97" s="65" cm="1">
        <f t="array" ref="D97">100*OptionPrice('Trading Dashboard'!$K$7,'Trading Dashboard'!$AB$7,'Trading Dashboard'!$K$8,C97,'Trading Dashboard'!$AB$10,'Trading Dashboard'!$AB$9,'Trading Dashboard'!$K$9,'Trading Dashboard'!$AB$11)</f>
        <v>49.144856023382403</v>
      </c>
      <c r="E97" s="62">
        <f>'Trading Dashboard'!$AB$8</f>
        <v>4.4999999999999999E-4</v>
      </c>
      <c r="G97">
        <v>95</v>
      </c>
      <c r="H97" s="64">
        <f t="shared" ca="1" si="7"/>
        <v>44248.326353686527</v>
      </c>
      <c r="I97" s="63">
        <f t="shared" ca="1" si="4"/>
        <v>2.5658517899212294E-2</v>
      </c>
      <c r="J97" s="67" cm="1">
        <f t="array" aca="1" ref="J97" ca="1">100*OptionPrice('Trading Dashboard'!$K$7,'Trading Dashboard'!$AB$7,'Trading Dashboard'!$K$8,'Trading Dashboard'!$AB$8,'Trading Dashboard'!$AB$10,'Trading Dashboard'!$AB$9,H97,'Trading Dashboard'!$AB$11)</f>
        <v>49.627644776985079</v>
      </c>
      <c r="K97" s="69">
        <f t="shared" ca="1" si="5"/>
        <v>2.7008966233869801E-2</v>
      </c>
    </row>
    <row r="98" spans="2:11" x14ac:dyDescent="0.3">
      <c r="B98">
        <v>96</v>
      </c>
      <c r="C98" s="62">
        <f t="shared" si="6"/>
        <v>1.2959999999999996E-3</v>
      </c>
      <c r="D98" s="65" cm="1">
        <f t="array" ref="D98">100*OptionPrice('Trading Dashboard'!$K$7,'Trading Dashboard'!$AB$7,'Trading Dashboard'!$K$8,C98,'Trading Dashboard'!$AB$10,'Trading Dashboard'!$AB$9,'Trading Dashboard'!$K$9,'Trading Dashboard'!$AB$11)</f>
        <v>49.145159110511578</v>
      </c>
      <c r="E98" s="62">
        <f>'Trading Dashboard'!$AB$8</f>
        <v>4.4999999999999999E-4</v>
      </c>
      <c r="G98">
        <v>96</v>
      </c>
      <c r="H98" s="64">
        <f t="shared" ca="1" si="7"/>
        <v>44248.394416282594</v>
      </c>
      <c r="I98" s="63">
        <f t="shared" ca="1" si="4"/>
        <v>2.5928607566143794E-2</v>
      </c>
      <c r="J98" s="67" cm="1">
        <f t="array" aca="1" ref="J98" ca="1">100*OptionPrice('Trading Dashboard'!$K$7,'Trading Dashboard'!$AB$7,'Trading Dashboard'!$K$8,'Trading Dashboard'!$AB$8,'Trading Dashboard'!$AB$10,'Trading Dashboard'!$AB$9,H98,'Trading Dashboard'!$AB$11)</f>
        <v>49.733541682965985</v>
      </c>
      <c r="K98" s="69">
        <f t="shared" ca="1" si="5"/>
        <v>2.7008966233869801E-2</v>
      </c>
    </row>
    <row r="99" spans="2:11" x14ac:dyDescent="0.3">
      <c r="B99">
        <v>97</v>
      </c>
      <c r="C99" s="62">
        <f t="shared" si="6"/>
        <v>1.3094999999999997E-3</v>
      </c>
      <c r="D99" s="65" cm="1">
        <f t="array" ref="D99">100*OptionPrice('Trading Dashboard'!$K$7,'Trading Dashboard'!$AB$7,'Trading Dashboard'!$K$8,C99,'Trading Dashboard'!$AB$10,'Trading Dashboard'!$AB$9,'Trading Dashboard'!$K$9,'Trading Dashboard'!$AB$11)</f>
        <v>49.145462198556231</v>
      </c>
      <c r="E99" s="62">
        <f>'Trading Dashboard'!$AB$8</f>
        <v>4.4999999999999999E-4</v>
      </c>
      <c r="G99">
        <v>97</v>
      </c>
      <c r="H99" s="64">
        <f t="shared" ca="1" si="7"/>
        <v>44248.46247887866</v>
      </c>
      <c r="I99" s="63">
        <f t="shared" ca="1" si="4"/>
        <v>2.6198697233075295E-2</v>
      </c>
      <c r="J99" s="67" cm="1">
        <f t="array" aca="1" ref="J99" ca="1">100*OptionPrice('Trading Dashboard'!$K$7,'Trading Dashboard'!$AB$7,'Trading Dashboard'!$K$8,'Trading Dashboard'!$AB$8,'Trading Dashboard'!$AB$10,'Trading Dashboard'!$AB$9,H99,'Trading Dashboard'!$AB$11)</f>
        <v>49.838997447491948</v>
      </c>
      <c r="K99" s="69">
        <f t="shared" ca="1" si="5"/>
        <v>2.7008966233869801E-2</v>
      </c>
    </row>
    <row r="100" spans="2:11" x14ac:dyDescent="0.3">
      <c r="B100">
        <v>98</v>
      </c>
      <c r="C100" s="62">
        <f t="shared" si="6"/>
        <v>1.3229999999999997E-3</v>
      </c>
      <c r="D100" s="65" cm="1">
        <f t="array" ref="D100">100*OptionPrice('Trading Dashboard'!$K$7,'Trading Dashboard'!$AB$7,'Trading Dashboard'!$K$8,C100,'Trading Dashboard'!$AB$10,'Trading Dashboard'!$AB$9,'Trading Dashboard'!$K$9,'Trading Dashboard'!$AB$11)</f>
        <v>49.145765287516035</v>
      </c>
      <c r="E100" s="62">
        <f>'Trading Dashboard'!$AB$8</f>
        <v>4.4999999999999999E-4</v>
      </c>
      <c r="G100">
        <v>98</v>
      </c>
      <c r="H100" s="64">
        <f t="shared" ca="1" si="7"/>
        <v>44248.530541474727</v>
      </c>
      <c r="I100" s="63">
        <f t="shared" ca="1" si="4"/>
        <v>2.6468786900006799E-2</v>
      </c>
      <c r="J100" s="67" cm="1">
        <f t="array" aca="1" ref="J100" ca="1">100*OptionPrice('Trading Dashboard'!$K$7,'Trading Dashboard'!$AB$7,'Trading Dashboard'!$K$8,'Trading Dashboard'!$AB$8,'Trading Dashboard'!$AB$10,'Trading Dashboard'!$AB$9,H100,'Trading Dashboard'!$AB$11)</f>
        <v>49.94401641904804</v>
      </c>
      <c r="K100" s="69">
        <f t="shared" ca="1" si="5"/>
        <v>2.7008966233869801E-2</v>
      </c>
    </row>
    <row r="101" spans="2:11" x14ac:dyDescent="0.3">
      <c r="B101">
        <v>99</v>
      </c>
      <c r="C101" s="62">
        <f t="shared" si="6"/>
        <v>1.3364999999999998E-3</v>
      </c>
      <c r="D101" s="65" cm="1">
        <f t="array" ref="D101">100*OptionPrice('Trading Dashboard'!$K$7,'Trading Dashboard'!$AB$7,'Trading Dashboard'!$K$8,C101,'Trading Dashboard'!$AB$10,'Trading Dashboard'!$AB$9,'Trading Dashboard'!$K$9,'Trading Dashboard'!$AB$11)</f>
        <v>49.146068377389931</v>
      </c>
      <c r="E101" s="62">
        <f>'Trading Dashboard'!$AB$8</f>
        <v>4.4999999999999999E-4</v>
      </c>
      <c r="G101">
        <v>99</v>
      </c>
      <c r="H101" s="64">
        <f t="shared" ca="1" si="7"/>
        <v>44248.598604070794</v>
      </c>
      <c r="I101" s="63">
        <f t="shared" ca="1" si="4"/>
        <v>2.67388765669383E-2</v>
      </c>
      <c r="J101" s="67" cm="1">
        <f t="array" aca="1" ref="J101" ca="1">100*OptionPrice('Trading Dashboard'!$K$7,'Trading Dashboard'!$AB$7,'Trading Dashboard'!$K$8,'Trading Dashboard'!$AB$8,'Trading Dashboard'!$AB$10,'Trading Dashboard'!$AB$9,H101,'Trading Dashboard'!$AB$11)</f>
        <v>50.048602884160864</v>
      </c>
      <c r="K101" s="69">
        <f t="shared" ca="1" si="5"/>
        <v>2.7008966233869801E-2</v>
      </c>
    </row>
    <row r="102" spans="2:11" x14ac:dyDescent="0.3">
      <c r="B102">
        <v>100</v>
      </c>
      <c r="C102" s="62">
        <f t="shared" ref="C102" si="8">C101+$A$8</f>
        <v>1.3499999999999999E-3</v>
      </c>
      <c r="D102" s="65" cm="1">
        <f t="array" ref="D102">100*OptionPrice('Trading Dashboard'!$K$7,'Trading Dashboard'!$AB$7,'Trading Dashboard'!$K$8,C102,'Trading Dashboard'!$AB$10,'Trading Dashboard'!$AB$9,'Trading Dashboard'!$K$9,'Trading Dashboard'!$AB$11)</f>
        <v>49.146371468180448</v>
      </c>
      <c r="E102" s="62">
        <f>'Trading Dashboard'!$AB$8</f>
        <v>4.4999999999999999E-4</v>
      </c>
      <c r="G102">
        <v>100</v>
      </c>
      <c r="H102" s="64">
        <f t="shared" ref="H102" ca="1" si="9">H101+$F$8</f>
        <v>44248.666666666861</v>
      </c>
      <c r="I102" s="63">
        <f t="shared" ca="1" si="4"/>
        <v>2.7008966233869801E-2</v>
      </c>
      <c r="J102" s="67" cm="1">
        <f t="array" aca="1" ref="J102" ca="1">100*OptionPrice('Trading Dashboard'!$K$7,'Trading Dashboard'!$AB$7,'Trading Dashboard'!$K$8,'Trading Dashboard'!$AB$8,'Trading Dashboard'!$AB$10,'Trading Dashboard'!$AB$9,H102,'Trading Dashboard'!$AB$11)</f>
        <v>50.152761068259203</v>
      </c>
      <c r="K102" s="69">
        <f t="shared" ca="1" si="5"/>
        <v>2.7008966233869801E-2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200EDD1-7B64-4833-B196-3F56BC6809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Trading Dashboard</vt:lpstr>
      <vt:lpstr>Symbol (ref)</vt:lpstr>
      <vt:lpstr>YF Summary A</vt:lpstr>
      <vt:lpstr>YF Summary B</vt:lpstr>
      <vt:lpstr>YF Spot</vt:lpstr>
      <vt:lpstr>EWMA</vt:lpstr>
      <vt:lpstr>YF Calls</vt:lpstr>
      <vt:lpstr>YF Puts</vt:lpstr>
      <vt:lpstr>Utility</vt:lpstr>
      <vt:lpstr>T-Bills 3M</vt:lpstr>
      <vt:lpstr>OptionsPlots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Nicolás Cuesta Quintero</dc:creator>
  <cp:lastModifiedBy>Nicolás Cuesta Quintero</cp:lastModifiedBy>
  <dcterms:created xsi:type="dcterms:W3CDTF">2021-02-13T15:52:03Z</dcterms:created>
  <dcterms:modified xsi:type="dcterms:W3CDTF">2021-02-15T01:38:59Z</dcterms:modified>
</cp:coreProperties>
</file>